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Henu\"/>
    </mc:Choice>
  </mc:AlternateContent>
  <xr:revisionPtr revIDLastSave="0" documentId="13_ncr:1_{DAB8B4A2-2C56-426F-8280-D5BEACF744B1}" xr6:coauthVersionLast="47" xr6:coauthVersionMax="47" xr10:uidLastSave="{00000000-0000-0000-0000-000000000000}"/>
  <bookViews>
    <workbookView xWindow="-110" yWindow="-110" windowWidth="19420" windowHeight="10300" firstSheet="8" activeTab="9" xr2:uid="{5B90BEA4-C978-4D8A-869B-1788FFDE4E77}"/>
  </bookViews>
  <sheets>
    <sheet name="01-يناير" sheetId="1" r:id="rId1"/>
    <sheet name="02-فبراير" sheetId="2" r:id="rId2"/>
    <sheet name="03-مارس" sheetId="3" r:id="rId3"/>
    <sheet name="04-أبريل" sheetId="4" r:id="rId4"/>
    <sheet name="05-مايو" sheetId="5" r:id="rId5"/>
    <sheet name="06-يونيو" sheetId="6" r:id="rId6"/>
    <sheet name="07-يوليو" sheetId="7" r:id="rId7"/>
    <sheet name="08-أغسطس" sheetId="8" r:id="rId8"/>
    <sheet name="09-سبتمبر" sheetId="9" r:id="rId9"/>
    <sheet name="10-أكتوبر" sheetId="10" r:id="rId10"/>
    <sheet name="11-نوفمبر" sheetId="11" r:id="rId11"/>
    <sheet name="12-ديسمبر" sheetId="12" r:id="rId12"/>
    <sheet name="داشبورد_مجمع_الشهور" sheetId="13" r:id="rId13"/>
    <sheet name="داشبورد_Year_To_Date" sheetId="14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0" i="14" l="1"/>
  <c r="B10" i="14"/>
  <c r="D9" i="14"/>
  <c r="B9" i="14"/>
  <c r="D8" i="14"/>
  <c r="B8" i="14"/>
  <c r="D7" i="14"/>
  <c r="B7" i="14"/>
  <c r="D6" i="14"/>
  <c r="B6" i="14"/>
  <c r="G17" i="13"/>
  <c r="F17" i="13"/>
  <c r="E17" i="13"/>
  <c r="D17" i="13"/>
  <c r="H16" i="13"/>
  <c r="G16" i="13"/>
  <c r="F16" i="13"/>
  <c r="E16" i="13"/>
  <c r="D16" i="13"/>
  <c r="C16" i="13"/>
  <c r="H15" i="13"/>
  <c r="G15" i="13"/>
  <c r="F15" i="13"/>
  <c r="E15" i="13"/>
  <c r="D15" i="13"/>
  <c r="C15" i="13"/>
  <c r="H14" i="13"/>
  <c r="G14" i="13"/>
  <c r="F14" i="13"/>
  <c r="E14" i="13"/>
  <c r="D14" i="13"/>
  <c r="C14" i="13"/>
  <c r="H13" i="13"/>
  <c r="G13" i="13"/>
  <c r="F13" i="13"/>
  <c r="E13" i="13"/>
  <c r="D13" i="13"/>
  <c r="C13" i="13"/>
  <c r="H12" i="13"/>
  <c r="G12" i="13"/>
  <c r="F12" i="13"/>
  <c r="E12" i="13"/>
  <c r="D12" i="13"/>
  <c r="C12" i="13"/>
  <c r="H11" i="13"/>
  <c r="G11" i="13"/>
  <c r="F11" i="13"/>
  <c r="E11" i="13"/>
  <c r="D11" i="13"/>
  <c r="C11" i="13"/>
  <c r="H10" i="13"/>
  <c r="G10" i="13"/>
  <c r="F10" i="13"/>
  <c r="E10" i="13"/>
  <c r="D10" i="13"/>
  <c r="C10" i="13"/>
  <c r="H9" i="13"/>
  <c r="G9" i="13"/>
  <c r="F9" i="13"/>
  <c r="E9" i="13"/>
  <c r="D9" i="13"/>
  <c r="C9" i="13"/>
  <c r="H8" i="13"/>
  <c r="G8" i="13"/>
  <c r="F8" i="13"/>
  <c r="E8" i="13"/>
  <c r="D8" i="13"/>
  <c r="C8" i="13"/>
  <c r="H7" i="13"/>
  <c r="G7" i="13"/>
  <c r="F7" i="13"/>
  <c r="E7" i="13"/>
  <c r="D7" i="13"/>
  <c r="C7" i="13"/>
  <c r="H6" i="13"/>
  <c r="G6" i="13"/>
  <c r="F6" i="13"/>
  <c r="E6" i="13"/>
  <c r="D6" i="13"/>
  <c r="C6" i="13"/>
  <c r="H5" i="13"/>
  <c r="G5" i="13"/>
  <c r="F5" i="13"/>
  <c r="E5" i="13"/>
  <c r="D5" i="13"/>
  <c r="C5" i="13"/>
  <c r="H35" i="12"/>
  <c r="G35" i="12"/>
  <c r="K34" i="12"/>
  <c r="J34" i="12"/>
  <c r="K33" i="12"/>
  <c r="J33" i="12"/>
  <c r="K32" i="12"/>
  <c r="J32" i="12"/>
  <c r="K31" i="12"/>
  <c r="J31" i="12"/>
  <c r="K30" i="12"/>
  <c r="J30" i="12"/>
  <c r="K29" i="12"/>
  <c r="J29" i="12"/>
  <c r="K28" i="12"/>
  <c r="J28" i="12"/>
  <c r="K27" i="12"/>
  <c r="J27" i="12"/>
  <c r="K26" i="12"/>
  <c r="J26" i="12"/>
  <c r="K25" i="12"/>
  <c r="J25" i="12"/>
  <c r="K24" i="12"/>
  <c r="J24" i="12"/>
  <c r="K23" i="12"/>
  <c r="J23" i="12"/>
  <c r="K22" i="12"/>
  <c r="J22" i="12"/>
  <c r="K21" i="12"/>
  <c r="J21" i="12"/>
  <c r="K20" i="12"/>
  <c r="J20" i="12"/>
  <c r="K19" i="12"/>
  <c r="J19" i="12"/>
  <c r="K18" i="12"/>
  <c r="J18" i="12"/>
  <c r="K17" i="12"/>
  <c r="J17" i="12"/>
  <c r="K16" i="12"/>
  <c r="J16" i="12"/>
  <c r="K15" i="12"/>
  <c r="J15" i="12"/>
  <c r="K14" i="12"/>
  <c r="J14" i="12"/>
  <c r="K13" i="12"/>
  <c r="J13" i="12"/>
  <c r="K12" i="12"/>
  <c r="J12" i="12"/>
  <c r="K11" i="12"/>
  <c r="J11" i="12"/>
  <c r="K10" i="12"/>
  <c r="J10" i="12"/>
  <c r="K9" i="12"/>
  <c r="J9" i="12"/>
  <c r="K8" i="12"/>
  <c r="J8" i="12"/>
  <c r="K7" i="12"/>
  <c r="J7" i="12"/>
  <c r="K6" i="12"/>
  <c r="J6" i="12"/>
  <c r="K5" i="12"/>
  <c r="J5" i="12"/>
  <c r="K4" i="12"/>
  <c r="J4" i="12"/>
  <c r="H4" i="12"/>
  <c r="G4" i="12"/>
  <c r="H35" i="11"/>
  <c r="G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5" i="11"/>
  <c r="J5" i="11"/>
  <c r="K4" i="11"/>
  <c r="J4" i="11"/>
  <c r="H4" i="11"/>
  <c r="G4" i="11"/>
  <c r="H35" i="10"/>
  <c r="G35" i="10"/>
  <c r="K34" i="10"/>
  <c r="J34" i="10"/>
  <c r="K33" i="10"/>
  <c r="J33" i="10"/>
  <c r="K32" i="10"/>
  <c r="J32" i="10"/>
  <c r="K31" i="10"/>
  <c r="J31" i="10"/>
  <c r="K30" i="10"/>
  <c r="J30" i="10"/>
  <c r="K29" i="10"/>
  <c r="J29" i="10"/>
  <c r="K28" i="10"/>
  <c r="J28" i="10"/>
  <c r="K27" i="10"/>
  <c r="J27" i="10"/>
  <c r="K26" i="10"/>
  <c r="J26" i="10"/>
  <c r="K25" i="10"/>
  <c r="J25" i="10"/>
  <c r="K24" i="10"/>
  <c r="J24" i="10"/>
  <c r="K23" i="10"/>
  <c r="J23" i="10"/>
  <c r="K22" i="10"/>
  <c r="J22" i="10"/>
  <c r="K21" i="10"/>
  <c r="J21" i="10"/>
  <c r="K20" i="10"/>
  <c r="J20" i="10"/>
  <c r="K19" i="10"/>
  <c r="J19" i="10"/>
  <c r="K18" i="10"/>
  <c r="J18" i="10"/>
  <c r="K17" i="10"/>
  <c r="J17" i="10"/>
  <c r="K16" i="10"/>
  <c r="J16" i="10"/>
  <c r="K15" i="10"/>
  <c r="J15" i="10"/>
  <c r="K14" i="10"/>
  <c r="J14" i="10"/>
  <c r="K13" i="10"/>
  <c r="J13" i="10"/>
  <c r="K12" i="10"/>
  <c r="J12" i="10"/>
  <c r="K11" i="10"/>
  <c r="J11" i="10"/>
  <c r="K10" i="10"/>
  <c r="J10" i="10"/>
  <c r="K9" i="10"/>
  <c r="J9" i="10"/>
  <c r="K8" i="10"/>
  <c r="J8" i="10"/>
  <c r="K7" i="10"/>
  <c r="J7" i="10"/>
  <c r="K6" i="10"/>
  <c r="J6" i="10"/>
  <c r="K5" i="10"/>
  <c r="J5" i="10"/>
  <c r="K4" i="10"/>
  <c r="J4" i="10"/>
  <c r="H4" i="10"/>
  <c r="G4" i="10"/>
  <c r="H35" i="9"/>
  <c r="G35" i="9"/>
  <c r="K34" i="9"/>
  <c r="J34" i="9"/>
  <c r="K33" i="9"/>
  <c r="J33" i="9"/>
  <c r="K32" i="9"/>
  <c r="J32" i="9"/>
  <c r="K31" i="9"/>
  <c r="J31" i="9"/>
  <c r="K30" i="9"/>
  <c r="J30" i="9"/>
  <c r="K29" i="9"/>
  <c r="J29" i="9"/>
  <c r="K28" i="9"/>
  <c r="J28" i="9"/>
  <c r="K27" i="9"/>
  <c r="J27" i="9"/>
  <c r="K26" i="9"/>
  <c r="J26" i="9"/>
  <c r="K25" i="9"/>
  <c r="J25" i="9"/>
  <c r="K24" i="9"/>
  <c r="J24" i="9"/>
  <c r="K23" i="9"/>
  <c r="J23" i="9"/>
  <c r="K22" i="9"/>
  <c r="J22" i="9"/>
  <c r="K21" i="9"/>
  <c r="J21" i="9"/>
  <c r="K20" i="9"/>
  <c r="J20" i="9"/>
  <c r="K19" i="9"/>
  <c r="J19" i="9"/>
  <c r="K18" i="9"/>
  <c r="J18" i="9"/>
  <c r="K17" i="9"/>
  <c r="J17" i="9"/>
  <c r="K16" i="9"/>
  <c r="J16" i="9"/>
  <c r="K15" i="9"/>
  <c r="J15" i="9"/>
  <c r="K14" i="9"/>
  <c r="J14" i="9"/>
  <c r="K13" i="9"/>
  <c r="J13" i="9"/>
  <c r="K12" i="9"/>
  <c r="J12" i="9"/>
  <c r="K11" i="9"/>
  <c r="J11" i="9"/>
  <c r="K10" i="9"/>
  <c r="J10" i="9"/>
  <c r="K9" i="9"/>
  <c r="J9" i="9"/>
  <c r="K8" i="9"/>
  <c r="J8" i="9"/>
  <c r="K7" i="9"/>
  <c r="J7" i="9"/>
  <c r="K6" i="9"/>
  <c r="J6" i="9"/>
  <c r="K5" i="9"/>
  <c r="J5" i="9"/>
  <c r="K4" i="9"/>
  <c r="J4" i="9"/>
  <c r="H4" i="9"/>
  <c r="G4" i="9"/>
  <c r="H35" i="8"/>
  <c r="G35" i="8"/>
  <c r="K34" i="8"/>
  <c r="J34" i="8"/>
  <c r="K33" i="8"/>
  <c r="J33" i="8"/>
  <c r="K32" i="8"/>
  <c r="J32" i="8"/>
  <c r="K31" i="8"/>
  <c r="J31" i="8"/>
  <c r="K30" i="8"/>
  <c r="J30" i="8"/>
  <c r="K29" i="8"/>
  <c r="J29" i="8"/>
  <c r="K28" i="8"/>
  <c r="J28" i="8"/>
  <c r="K27" i="8"/>
  <c r="J27" i="8"/>
  <c r="K26" i="8"/>
  <c r="J26" i="8"/>
  <c r="K25" i="8"/>
  <c r="J25" i="8"/>
  <c r="K24" i="8"/>
  <c r="J24" i="8"/>
  <c r="K23" i="8"/>
  <c r="J23" i="8"/>
  <c r="K22" i="8"/>
  <c r="J22" i="8"/>
  <c r="K21" i="8"/>
  <c r="J21" i="8"/>
  <c r="K20" i="8"/>
  <c r="J20" i="8"/>
  <c r="K19" i="8"/>
  <c r="J19" i="8"/>
  <c r="K18" i="8"/>
  <c r="J18" i="8"/>
  <c r="K17" i="8"/>
  <c r="J17" i="8"/>
  <c r="K16" i="8"/>
  <c r="J16" i="8"/>
  <c r="K15" i="8"/>
  <c r="J15" i="8"/>
  <c r="K14" i="8"/>
  <c r="J14" i="8"/>
  <c r="K13" i="8"/>
  <c r="J13" i="8"/>
  <c r="K12" i="8"/>
  <c r="J12" i="8"/>
  <c r="K11" i="8"/>
  <c r="J11" i="8"/>
  <c r="K10" i="8"/>
  <c r="J10" i="8"/>
  <c r="K9" i="8"/>
  <c r="J9" i="8"/>
  <c r="K8" i="8"/>
  <c r="J8" i="8"/>
  <c r="K7" i="8"/>
  <c r="J7" i="8"/>
  <c r="K6" i="8"/>
  <c r="J6" i="8"/>
  <c r="K5" i="8"/>
  <c r="J5" i="8"/>
  <c r="K4" i="8"/>
  <c r="J4" i="8"/>
  <c r="H4" i="8"/>
  <c r="G4" i="8"/>
  <c r="H35" i="7"/>
  <c r="G35" i="7"/>
  <c r="K34" i="7"/>
  <c r="J34" i="7"/>
  <c r="K33" i="7"/>
  <c r="J33" i="7"/>
  <c r="K32" i="7"/>
  <c r="J32" i="7"/>
  <c r="K31" i="7"/>
  <c r="J31" i="7"/>
  <c r="K30" i="7"/>
  <c r="J30" i="7"/>
  <c r="K29" i="7"/>
  <c r="J29" i="7"/>
  <c r="K28" i="7"/>
  <c r="J28" i="7"/>
  <c r="K27" i="7"/>
  <c r="J27" i="7"/>
  <c r="K26" i="7"/>
  <c r="J26" i="7"/>
  <c r="K25" i="7"/>
  <c r="J25" i="7"/>
  <c r="K24" i="7"/>
  <c r="J24" i="7"/>
  <c r="K23" i="7"/>
  <c r="J23" i="7"/>
  <c r="K22" i="7"/>
  <c r="J22" i="7"/>
  <c r="K21" i="7"/>
  <c r="J21" i="7"/>
  <c r="K20" i="7"/>
  <c r="J20" i="7"/>
  <c r="K19" i="7"/>
  <c r="J19" i="7"/>
  <c r="K18" i="7"/>
  <c r="J18" i="7"/>
  <c r="K17" i="7"/>
  <c r="J17" i="7"/>
  <c r="K16" i="7"/>
  <c r="J16" i="7"/>
  <c r="K15" i="7"/>
  <c r="J15" i="7"/>
  <c r="K14" i="7"/>
  <c r="J14" i="7"/>
  <c r="K13" i="7"/>
  <c r="J13" i="7"/>
  <c r="K12" i="7"/>
  <c r="J12" i="7"/>
  <c r="K11" i="7"/>
  <c r="J11" i="7"/>
  <c r="K10" i="7"/>
  <c r="J10" i="7"/>
  <c r="K9" i="7"/>
  <c r="J9" i="7"/>
  <c r="K8" i="7"/>
  <c r="J8" i="7"/>
  <c r="K7" i="7"/>
  <c r="J7" i="7"/>
  <c r="K6" i="7"/>
  <c r="J6" i="7"/>
  <c r="K5" i="7"/>
  <c r="J5" i="7"/>
  <c r="K4" i="7"/>
  <c r="J4" i="7"/>
  <c r="H4" i="7"/>
  <c r="G4" i="7"/>
  <c r="H35" i="6"/>
  <c r="G35" i="6"/>
  <c r="K34" i="6"/>
  <c r="J34" i="6"/>
  <c r="K33" i="6"/>
  <c r="J33" i="6"/>
  <c r="K32" i="6"/>
  <c r="J32" i="6"/>
  <c r="K31" i="6"/>
  <c r="J31" i="6"/>
  <c r="K30" i="6"/>
  <c r="J30" i="6"/>
  <c r="K29" i="6"/>
  <c r="J29" i="6"/>
  <c r="K28" i="6"/>
  <c r="J28" i="6"/>
  <c r="K27" i="6"/>
  <c r="J27" i="6"/>
  <c r="K26" i="6"/>
  <c r="J26" i="6"/>
  <c r="K25" i="6"/>
  <c r="J25" i="6"/>
  <c r="K24" i="6"/>
  <c r="J24" i="6"/>
  <c r="K23" i="6"/>
  <c r="J23" i="6"/>
  <c r="K22" i="6"/>
  <c r="J22" i="6"/>
  <c r="K21" i="6"/>
  <c r="J21" i="6"/>
  <c r="K20" i="6"/>
  <c r="J20" i="6"/>
  <c r="K19" i="6"/>
  <c r="J19" i="6"/>
  <c r="K18" i="6"/>
  <c r="J18" i="6"/>
  <c r="K17" i="6"/>
  <c r="J17" i="6"/>
  <c r="K16" i="6"/>
  <c r="J16" i="6"/>
  <c r="K15" i="6"/>
  <c r="J15" i="6"/>
  <c r="K14" i="6"/>
  <c r="J14" i="6"/>
  <c r="K13" i="6"/>
  <c r="J13" i="6"/>
  <c r="K12" i="6"/>
  <c r="J12" i="6"/>
  <c r="K11" i="6"/>
  <c r="J11" i="6"/>
  <c r="K10" i="6"/>
  <c r="J10" i="6"/>
  <c r="K9" i="6"/>
  <c r="J9" i="6"/>
  <c r="K8" i="6"/>
  <c r="J8" i="6"/>
  <c r="K7" i="6"/>
  <c r="J7" i="6"/>
  <c r="K6" i="6"/>
  <c r="J6" i="6"/>
  <c r="K5" i="6"/>
  <c r="J5" i="6"/>
  <c r="K4" i="6"/>
  <c r="J4" i="6"/>
  <c r="H4" i="6"/>
  <c r="G4" i="6"/>
  <c r="H35" i="5"/>
  <c r="G35" i="5"/>
  <c r="K34" i="5"/>
  <c r="J34" i="5"/>
  <c r="K33" i="5"/>
  <c r="J33" i="5"/>
  <c r="K32" i="5"/>
  <c r="J32" i="5"/>
  <c r="K31" i="5"/>
  <c r="J31" i="5"/>
  <c r="K30" i="5"/>
  <c r="J30" i="5"/>
  <c r="K29" i="5"/>
  <c r="J29" i="5"/>
  <c r="K28" i="5"/>
  <c r="J28" i="5"/>
  <c r="K27" i="5"/>
  <c r="J27" i="5"/>
  <c r="K26" i="5"/>
  <c r="J26" i="5"/>
  <c r="K25" i="5"/>
  <c r="J25" i="5"/>
  <c r="K24" i="5"/>
  <c r="J24" i="5"/>
  <c r="K23" i="5"/>
  <c r="J23" i="5"/>
  <c r="K22" i="5"/>
  <c r="J22" i="5"/>
  <c r="K21" i="5"/>
  <c r="J21" i="5"/>
  <c r="K20" i="5"/>
  <c r="J20" i="5"/>
  <c r="K19" i="5"/>
  <c r="J19" i="5"/>
  <c r="K18" i="5"/>
  <c r="J18" i="5"/>
  <c r="K17" i="5"/>
  <c r="J17" i="5"/>
  <c r="K16" i="5"/>
  <c r="J16" i="5"/>
  <c r="K15" i="5"/>
  <c r="J15" i="5"/>
  <c r="K14" i="5"/>
  <c r="J14" i="5"/>
  <c r="K13" i="5"/>
  <c r="J13" i="5"/>
  <c r="K12" i="5"/>
  <c r="J12" i="5"/>
  <c r="K11" i="5"/>
  <c r="J11" i="5"/>
  <c r="K10" i="5"/>
  <c r="J10" i="5"/>
  <c r="K9" i="5"/>
  <c r="J9" i="5"/>
  <c r="K8" i="5"/>
  <c r="J8" i="5"/>
  <c r="K7" i="5"/>
  <c r="J7" i="5"/>
  <c r="K6" i="5"/>
  <c r="J6" i="5"/>
  <c r="K5" i="5"/>
  <c r="J5" i="5"/>
  <c r="K4" i="5"/>
  <c r="J4" i="5"/>
  <c r="H4" i="5"/>
  <c r="G4" i="5"/>
  <c r="H35" i="4"/>
  <c r="G35" i="4"/>
  <c r="K34" i="4"/>
  <c r="J34" i="4"/>
  <c r="K33" i="4"/>
  <c r="J33" i="4"/>
  <c r="K32" i="4"/>
  <c r="J32" i="4"/>
  <c r="K31" i="4"/>
  <c r="J31" i="4"/>
  <c r="K30" i="4"/>
  <c r="J30" i="4"/>
  <c r="K29" i="4"/>
  <c r="J29" i="4"/>
  <c r="K28" i="4"/>
  <c r="J28" i="4"/>
  <c r="K27" i="4"/>
  <c r="J27" i="4"/>
  <c r="K26" i="4"/>
  <c r="J26" i="4"/>
  <c r="K25" i="4"/>
  <c r="J25" i="4"/>
  <c r="K24" i="4"/>
  <c r="J24" i="4"/>
  <c r="K23" i="4"/>
  <c r="J23" i="4"/>
  <c r="K22" i="4"/>
  <c r="J22" i="4"/>
  <c r="K21" i="4"/>
  <c r="J21" i="4"/>
  <c r="K20" i="4"/>
  <c r="J20" i="4"/>
  <c r="K19" i="4"/>
  <c r="J19" i="4"/>
  <c r="K18" i="4"/>
  <c r="J18" i="4"/>
  <c r="K17" i="4"/>
  <c r="J17" i="4"/>
  <c r="K16" i="4"/>
  <c r="J16" i="4"/>
  <c r="K15" i="4"/>
  <c r="J15" i="4"/>
  <c r="K14" i="4"/>
  <c r="J14" i="4"/>
  <c r="K13" i="4"/>
  <c r="J13" i="4"/>
  <c r="K12" i="4"/>
  <c r="J12" i="4"/>
  <c r="K11" i="4"/>
  <c r="J11" i="4"/>
  <c r="K10" i="4"/>
  <c r="J10" i="4"/>
  <c r="K9" i="4"/>
  <c r="J9" i="4"/>
  <c r="K8" i="4"/>
  <c r="J8" i="4"/>
  <c r="K7" i="4"/>
  <c r="J7" i="4"/>
  <c r="K6" i="4"/>
  <c r="J6" i="4"/>
  <c r="K5" i="4"/>
  <c r="J5" i="4"/>
  <c r="K4" i="4"/>
  <c r="J4" i="4"/>
  <c r="H4" i="4"/>
  <c r="G4" i="4"/>
  <c r="H35" i="3"/>
  <c r="G35" i="3"/>
  <c r="K34" i="3"/>
  <c r="J34" i="3"/>
  <c r="K33" i="3"/>
  <c r="J33" i="3"/>
  <c r="K32" i="3"/>
  <c r="J32" i="3"/>
  <c r="K31" i="3"/>
  <c r="J31" i="3"/>
  <c r="K30" i="3"/>
  <c r="J30" i="3"/>
  <c r="K29" i="3"/>
  <c r="J29" i="3"/>
  <c r="K28" i="3"/>
  <c r="J28" i="3"/>
  <c r="K27" i="3"/>
  <c r="J27" i="3"/>
  <c r="K26" i="3"/>
  <c r="J26" i="3"/>
  <c r="K25" i="3"/>
  <c r="J25" i="3"/>
  <c r="K24" i="3"/>
  <c r="J24" i="3"/>
  <c r="K23" i="3"/>
  <c r="J23" i="3"/>
  <c r="K22" i="3"/>
  <c r="J22" i="3"/>
  <c r="K21" i="3"/>
  <c r="J21" i="3"/>
  <c r="K20" i="3"/>
  <c r="J20" i="3"/>
  <c r="K19" i="3"/>
  <c r="J19" i="3"/>
  <c r="K18" i="3"/>
  <c r="J18" i="3"/>
  <c r="K17" i="3"/>
  <c r="J17" i="3"/>
  <c r="K16" i="3"/>
  <c r="J16" i="3"/>
  <c r="K15" i="3"/>
  <c r="J15" i="3"/>
  <c r="K14" i="3"/>
  <c r="J14" i="3"/>
  <c r="K13" i="3"/>
  <c r="J13" i="3"/>
  <c r="K12" i="3"/>
  <c r="J12" i="3"/>
  <c r="K11" i="3"/>
  <c r="J11" i="3"/>
  <c r="K10" i="3"/>
  <c r="J10" i="3"/>
  <c r="K9" i="3"/>
  <c r="J9" i="3"/>
  <c r="K8" i="3"/>
  <c r="J8" i="3"/>
  <c r="K7" i="3"/>
  <c r="J7" i="3"/>
  <c r="K6" i="3"/>
  <c r="J6" i="3"/>
  <c r="K5" i="3"/>
  <c r="J5" i="3"/>
  <c r="K4" i="3"/>
  <c r="J4" i="3"/>
  <c r="H4" i="3"/>
  <c r="G4" i="3"/>
  <c r="H35" i="2"/>
  <c r="G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H4" i="2"/>
  <c r="G4" i="2"/>
  <c r="H35" i="1"/>
  <c r="G35" i="1"/>
  <c r="K34" i="1"/>
  <c r="J34" i="1"/>
  <c r="K33" i="1"/>
  <c r="J33" i="1"/>
  <c r="K32" i="1"/>
  <c r="J32" i="1"/>
  <c r="K31" i="1"/>
  <c r="J31" i="1"/>
  <c r="K30" i="1"/>
  <c r="J30" i="1"/>
  <c r="K29" i="1"/>
  <c r="J29" i="1"/>
  <c r="K28" i="1"/>
  <c r="J28" i="1"/>
  <c r="K27" i="1"/>
  <c r="J27" i="1"/>
  <c r="K26" i="1"/>
  <c r="J26" i="1"/>
  <c r="K25" i="1"/>
  <c r="J25" i="1"/>
  <c r="K24" i="1"/>
  <c r="J24" i="1"/>
  <c r="K23" i="1"/>
  <c r="J23" i="1"/>
  <c r="K22" i="1"/>
  <c r="J22" i="1"/>
  <c r="K21" i="1"/>
  <c r="J21" i="1"/>
  <c r="K20" i="1"/>
  <c r="J20" i="1"/>
  <c r="K19" i="1"/>
  <c r="J19" i="1"/>
  <c r="K18" i="1"/>
  <c r="J18" i="1"/>
  <c r="K17" i="1"/>
  <c r="J17" i="1"/>
  <c r="K16" i="1"/>
  <c r="J16" i="1"/>
  <c r="K15" i="1"/>
  <c r="J15" i="1"/>
  <c r="K14" i="1"/>
  <c r="J14" i="1"/>
  <c r="K13" i="1"/>
  <c r="J13" i="1"/>
  <c r="K12" i="1"/>
  <c r="J12" i="1"/>
  <c r="K11" i="1"/>
  <c r="J11" i="1"/>
  <c r="K10" i="1"/>
  <c r="J10" i="1"/>
  <c r="K9" i="1"/>
  <c r="J9" i="1"/>
  <c r="K8" i="1"/>
  <c r="J8" i="1"/>
  <c r="K7" i="1"/>
  <c r="J7" i="1"/>
  <c r="K6" i="1"/>
  <c r="J6" i="1"/>
  <c r="K5" i="1"/>
  <c r="J5" i="1"/>
  <c r="K4" i="1"/>
  <c r="J4" i="1"/>
</calcChain>
</file>

<file path=xl/sharedStrings.xml><?xml version="1.0" encoding="utf-8"?>
<sst xmlns="http://schemas.openxmlformats.org/spreadsheetml/2006/main" count="266" uniqueCount="65">
  <si>
    <t>هوستل الأهرامات — سجل حركة صندوق المصروفات النثرية والتشغيلية (01-يناير)</t>
  </si>
  <si>
    <t>سقف الصندوق (ج):</t>
  </si>
  <si>
    <t>حد الانذار (ج):</t>
  </si>
  <si>
    <t>رقم</t>
  </si>
  <si>
    <t>التاريخ</t>
  </si>
  <si>
    <t>رصيد افتتاحي</t>
  </si>
  <si>
    <t>رقم الاذن</t>
  </si>
  <si>
    <t>البيان</t>
  </si>
  <si>
    <t>الجهة المستلمة</t>
  </si>
  <si>
    <t>مصروف (ج)</t>
  </si>
  <si>
    <t>إيراد (ج)</t>
  </si>
  <si>
    <t>رقم الفاتورة</t>
  </si>
  <si>
    <t>رصيد متبقي</t>
  </si>
  <si>
    <t>تنبيه</t>
  </si>
  <si>
    <t>ملاحظات</t>
  </si>
  <si>
    <t>توقيع الصراف</t>
  </si>
  <si>
    <t>توقيع المراجع</t>
  </si>
  <si>
    <t>منقول</t>
  </si>
  <si>
    <t>الاجمالي</t>
  </si>
  <si>
    <t>هوستل الأهرامات — سجل حركة صندوق المصروفات النثرية والتشغيلية (02-فبراير)</t>
  </si>
  <si>
    <t>هوستل الأهرامات — سجل حركة صندوق المصروفات النثرية والتشغيلية (03-مارس)</t>
  </si>
  <si>
    <t>هوستل الأهرامات — سجل حركة صندوق المصروفات النثرية والتشغيلية (04-أبريل)</t>
  </si>
  <si>
    <t>هوستل الأهرامات — سجل حركة صندوق المصروفات النثرية والتشغيلية (05-مايو)</t>
  </si>
  <si>
    <t>هوستل الأهرامات — سجل حركة صندوق المصروفات النثرية والتشغيلية (06-يونيو)</t>
  </si>
  <si>
    <t>هوستل الأهرامات — سجل حركة صندوق المصروفات النثرية والتشغيلية (07-يوليو)</t>
  </si>
  <si>
    <t>هوستل الأهرامات — سجل حركة صندوق المصروفات النثرية والتشغيلية (08-أغسطس)</t>
  </si>
  <si>
    <t>هوستل الأهرامات — سجل حركة صندوق المصروفات النثرية والتشغيلية (10-أكتوبر)</t>
  </si>
  <si>
    <t>هوستل الأهرامات — سجل حركة صندوق المصروفات النثرية والتشغيلية (11-نوفمبر)</t>
  </si>
  <si>
    <t>هوستل الأهرامات — سجل حركة صندوق المصروفات النثرية والتشغيلية (12-ديسمبر)</t>
  </si>
  <si>
    <t>📊 لوحة متابعة ومقارنة الشهور المجمعة (Monthly Summary Dashboard)</t>
  </si>
  <si>
    <t>تحديث تلقائي مجمع لجميع شهور السنة 2026</t>
  </si>
  <si>
    <t>م</t>
  </si>
  <si>
    <t>الشهر</t>
  </si>
  <si>
    <t>رصيد بداية الشهر</t>
  </si>
  <si>
    <t>إجمالي الإيرادات التشغيلية</t>
  </si>
  <si>
    <t>إجمالي المصروفات الكلية</t>
  </si>
  <si>
    <t>صافي التغير المالي</t>
  </si>
  <si>
    <t>رصيد نهاية الشهر</t>
  </si>
  <si>
    <t>حالة الأداء والحالة المالية</t>
  </si>
  <si>
    <t>01-يناير</t>
  </si>
  <si>
    <t>02-فبراير</t>
  </si>
  <si>
    <t>03-مارس</t>
  </si>
  <si>
    <t>04-أبريل</t>
  </si>
  <si>
    <t>05-مايو</t>
  </si>
  <si>
    <t>06-يونيو</t>
  </si>
  <si>
    <t>07-يوليو</t>
  </si>
  <si>
    <t>08-أغسطس</t>
  </si>
  <si>
    <t>09-سبتمبر</t>
  </si>
  <si>
    <t>10-أكتوبر</t>
  </si>
  <si>
    <t>11-نوفمبر</t>
  </si>
  <si>
    <t>12-ديسمبر</t>
  </si>
  <si>
    <t>الإجمالي السنوي</t>
  </si>
  <si>
    <t>📈 لوحة البيانات التنفيذية التراكمية — Year To Date (YTD Dashboard 2026)</t>
  </si>
  <si>
    <t>مؤشرات الأداء المالي التراكمية (YTD Financial KPIs)</t>
  </si>
  <si>
    <t>مؤشر الأداء المالي</t>
  </si>
  <si>
    <t>القيمة التراكمية</t>
  </si>
  <si>
    <t>الوحدة / النسبة</t>
  </si>
  <si>
    <t>حالة المؤشر</t>
  </si>
  <si>
    <t>💰 إجمالي الإيرادات التراكمية (YTD Revenue)</t>
  </si>
  <si>
    <t>جنيه مصري</t>
  </si>
  <si>
    <t>💸 إجمالي المصروفات التراكمية (YTD Expenses)</t>
  </si>
  <si>
    <t>⚖️ صافي أرباح / تغيير النشاط التشغيلي</t>
  </si>
  <si>
    <t>🏦 رصيد السيولة والخزينة الحالي (Current Cash Balance)</t>
  </si>
  <si>
    <t>📊 معدل تغطية الإيرادات للمصروفات</t>
  </si>
  <si>
    <t>نسبة مئوية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</si>
</sst>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5D361A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rgb="FF5D361A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5D361A"/>
        <bgColor indexed="64"/>
      </patternFill>
    </fill>
    <fill>
      <patternFill patternType="solid">
        <fgColor rgb="FFB06C2B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3" fontId="1" fillId="0" borderId="1" xfId="0" applyNumberFormat="1" applyFont="1" applyBorder="1"/>
    <xf numFmtId="3" fontId="0" fillId="0" borderId="1" xfId="0" applyNumberFormat="1" applyBorder="1"/>
    <xf numFmtId="0" fontId="5" fillId="0" borderId="0" xfId="0" applyFont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/>
    <xf numFmtId="0" fontId="2" fillId="0" borderId="0" xfId="0" applyFont="1"/>
    <xf numFmtId="0" fontId="4" fillId="0" borderId="0" xfId="0" applyFont="1"/>
    <xf numFmtId="0" fontId="1" fillId="0" borderId="1" xfId="0" applyFont="1" applyBorder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5FF7BC4-C4F9-B9F0-6A6B-E60F901E71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97EC62A-58BE-38B3-D2BD-4DA6ECB0C3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7F35113-74D5-10C8-C0C6-842B2F5F1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B4725F6D-EC03-E488-CDAB-42FF6E964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72DF595-673E-F25D-8C12-22E35D782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E937653D-6AB9-E80F-FEE3-EBD54AB7C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7D7F11F-E89F-28BD-07D8-B191BECA9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B034C812-6C77-6CE3-47A4-492034AD3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DA4A0712-F498-9066-AA5C-B9FD731256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173DDF4E-8580-E3FF-0034-B13D615D8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CEC06CE1-9865-728B-39D1-985BA7E97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34C545DE-65BA-9B35-B52E-E94D266BB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73D04DEC-6EE1-A586-6AEF-B8E1CFE30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B32F8481-735A-5E93-F54A-002D8F18E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3A43AFCD-CA80-A804-BEA4-3B418CFAD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86400671-0CDF-B124-72DF-1969E6916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A45B19BD-ABB8-6C5A-BFB5-89B181F8A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6687ED21-2D0B-3611-BA4B-8B61297BB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0</xdr:row>
          <xdr:rowOff>50800</xdr:rowOff>
        </xdr:from>
        <xdr:to>
          <xdr:col>6</xdr:col>
          <xdr:colOff>958850</xdr:colOff>
          <xdr:row>1</xdr:row>
          <xdr:rowOff>146050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5A92152F-7174-E1D4-5B17-23DCBDEEA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49</xdr:row>
          <xdr:rowOff>6350</xdr:rowOff>
        </xdr:from>
        <xdr:to>
          <xdr:col>6</xdr:col>
          <xdr:colOff>958850</xdr:colOff>
          <xdr:row>50</xdr:row>
          <xdr:rowOff>152400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39E56512-B6AC-2FFE-77BE-C7A495D19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145F4573-250A-89AF-1F85-4DE583CF0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2AF3FBF-38E6-47CD-EF0F-42FCA88AB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0</xdr:row>
          <xdr:rowOff>50800</xdr:rowOff>
        </xdr:from>
        <xdr:to>
          <xdr:col>6</xdr:col>
          <xdr:colOff>762000</xdr:colOff>
          <xdr:row>1</xdr:row>
          <xdr:rowOff>146050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87AA58D9-5464-76C5-FD31-8D5EF53A7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49</xdr:row>
          <xdr:rowOff>6350</xdr:rowOff>
        </xdr:from>
        <xdr:to>
          <xdr:col>6</xdr:col>
          <xdr:colOff>762000</xdr:colOff>
          <xdr:row>50</xdr:row>
          <xdr:rowOff>152400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EE60072D-0F01-7643-654C-37492936F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➕ إضافة صف جديد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5A9CE-48A5-41F3-99D7-E85EE3437D99}">
  <sheetPr codeName="Sheet1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3">
        <v>0</v>
      </c>
      <c r="H4" s="3">
        <v>0</v>
      </c>
      <c r="I4" s="3"/>
      <c r="J4" s="3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3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3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3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3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3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3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3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3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3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3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3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3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3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3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3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3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3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3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3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3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3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3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3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3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3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3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3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3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73943-45F8-49AF-BDB1-455EA82DBE42}">
  <sheetPr codeName="Sheet2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19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'01-يناير'!G35</f>
        <v>0</v>
      </c>
      <c r="H4" s="6">
        <f>'01-يناير'!H35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21447-FBF1-447B-A4CC-ECBEA65A7432}">
  <sheetPr codeName="Sheet3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'02-فبراير'!G35</f>
        <v>0</v>
      </c>
      <c r="H4" s="6">
        <f>'02-فبراير'!H35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49E0A-7E36-4E79-9F71-2FA58FA9548F}">
  <sheetPr codeName="Sheet4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'03-مارس'!G35</f>
        <v>0</v>
      </c>
      <c r="H4" s="6">
        <f>'03-مارس'!H35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87C8D-E434-4FED-A410-CC672B1D7C24}">
  <sheetPr codeName="Sheet5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22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'04-أبريل'!G35</f>
        <v>0</v>
      </c>
      <c r="H4" s="6">
        <f>'04-أبريل'!H35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43D10-95BD-485A-88A2-66EDA2DE18C6}">
  <sheetPr codeName="Sheet6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23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'05-مايو'!G35</f>
        <v>0</v>
      </c>
      <c r="H4" s="6">
        <f>'05-مايو'!H35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85497-D087-4D04-A0AD-E5C60EB187D9}">
  <sheetPr codeName="Sheet7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'06-يونيو'!G35</f>
        <v>0</v>
      </c>
      <c r="H4" s="6">
        <f>'06-يونيو'!H35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311F-6B1D-45F3-B64F-4CE549D34BB8}">
  <sheetPr codeName="Sheet8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25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'07-يوليو'!G35</f>
        <v>0</v>
      </c>
      <c r="H4" s="6">
        <f>'07-يوليو'!H35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B1155-A96D-432F-8D4D-6EB775560CF1}">
  <sheetPr codeName="Sheet9"/>
  <dimension ref="A1:N35"/>
  <sheetViews>
    <sheetView rightToLeft="1" topLeftCell="D1" workbookViewId="0">
      <selection sqref="A1:N1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'08-أغسطس'!G35</f>
        <v>0</v>
      </c>
      <c r="H4" s="6">
        <f>'08-أغسطس'!H35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E22FC-7C78-435E-BF41-656A3F87CFC7}">
  <sheetPr codeName="Sheet10"/>
  <dimension ref="A1:N35"/>
  <sheetViews>
    <sheetView rightToLeft="1" tabSelected="1" topLeftCell="E1" workbookViewId="0">
      <selection sqref="A1:N1"/>
    </sheetView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'09-سبتمبر'!G35</f>
        <v>0</v>
      </c>
      <c r="H4" s="6">
        <f>'09-سبتمبر'!H35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495300</xdr:colOff>
                    <xdr:row>0</xdr:row>
                    <xdr:rowOff>50800</xdr:rowOff>
                  </from>
                  <to>
                    <xdr:col>6</xdr:col>
                    <xdr:colOff>958850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495300</xdr:colOff>
                    <xdr:row>49</xdr:row>
                    <xdr:rowOff>6350</xdr:rowOff>
                  </from>
                  <to>
                    <xdr:col>6</xdr:col>
                    <xdr:colOff>958850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2393-2DF6-4F74-BE68-D7A83B47A719}">
  <sheetPr codeName="Sheet11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27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'10-أكتوبر'!G35</f>
        <v>0</v>
      </c>
      <c r="H4" s="6">
        <f>'10-أكتوبر'!H35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D35F5-241B-4D29-99D7-22F92E3BEE8C}">
  <sheetPr codeName="Sheet12"/>
  <dimension ref="A1:N35"/>
  <sheetViews>
    <sheetView rightToLeft="1" workbookViewId="0"/>
  </sheetViews>
  <sheetFormatPr defaultRowHeight="14.5" x14ac:dyDescent="0.35"/>
  <cols>
    <col min="1" max="1" width="8.6328125" customWidth="1"/>
    <col min="2" max="3" width="12.6328125" customWidth="1"/>
    <col min="4" max="4" width="10.6328125" customWidth="1"/>
    <col min="5" max="5" width="35.6328125" customWidth="1"/>
    <col min="6" max="6" width="20.6328125" customWidth="1"/>
    <col min="7" max="8" width="14.6328125" customWidth="1"/>
    <col min="9" max="9" width="12.6328125" customWidth="1"/>
    <col min="10" max="10" width="14.6328125" customWidth="1"/>
    <col min="11" max="11" width="18.6328125" customWidth="1"/>
    <col min="12" max="12" width="22.6328125" customWidth="1"/>
    <col min="13" max="14" width="14.6328125" customWidth="1"/>
  </cols>
  <sheetData>
    <row r="1" spans="1:14" ht="18.5" x14ac:dyDescent="0.45">
      <c r="A1" s="11" t="s">
        <v>28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1:14" x14ac:dyDescent="0.35">
      <c r="A2" s="1" t="s">
        <v>1</v>
      </c>
      <c r="B2" s="1"/>
      <c r="C2" s="1" t="s">
        <v>2</v>
      </c>
      <c r="D2" s="1">
        <v>5000</v>
      </c>
    </row>
    <row r="3" spans="1:14" x14ac:dyDescent="0.35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  <c r="F3" s="2" t="s">
        <v>8</v>
      </c>
      <c r="G3" s="2" t="s">
        <v>9</v>
      </c>
      <c r="H3" s="2" t="s">
        <v>10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</row>
    <row r="4" spans="1:14" x14ac:dyDescent="0.35">
      <c r="A4" s="3" t="s">
        <v>17</v>
      </c>
      <c r="B4" s="3"/>
      <c r="C4" s="3"/>
      <c r="D4" s="3"/>
      <c r="E4" s="3"/>
      <c r="F4" s="3"/>
      <c r="G4" s="6">
        <f>'11-نوفمبر'!G35</f>
        <v>0</v>
      </c>
      <c r="H4" s="6">
        <f>'11-نوفمبر'!H35</f>
        <v>0</v>
      </c>
      <c r="I4" s="3"/>
      <c r="J4" s="6">
        <f>C4-G4+H4</f>
        <v>0</v>
      </c>
      <c r="K4" s="3" t="str">
        <f t="shared" ref="K4:K34" si="0">IF(J4&lt;200,"تنبيه: أعد التعبئة","مقبول")</f>
        <v>تنبيه: أعد التعبئة</v>
      </c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6">
        <f t="shared" ref="J5:J34" si="1">J4-G5+H5</f>
        <v>0</v>
      </c>
      <c r="K5" s="3" t="str">
        <f t="shared" si="0"/>
        <v>تنبيه: أعد التعبئة</v>
      </c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6">
        <f t="shared" si="1"/>
        <v>0</v>
      </c>
      <c r="K6" s="3" t="str">
        <f t="shared" si="0"/>
        <v>تنبيه: أعد التعبئة</v>
      </c>
      <c r="L6" s="3"/>
      <c r="M6" s="3"/>
      <c r="N6" s="3"/>
    </row>
    <row r="7" spans="1:14" x14ac:dyDescent="0.35">
      <c r="A7" s="3"/>
      <c r="B7" s="3"/>
      <c r="C7" s="3"/>
      <c r="D7" s="3"/>
      <c r="E7" s="3"/>
      <c r="F7" s="3"/>
      <c r="G7" s="3"/>
      <c r="H7" s="3"/>
      <c r="I7" s="3"/>
      <c r="J7" s="6">
        <f t="shared" si="1"/>
        <v>0</v>
      </c>
      <c r="K7" s="3" t="str">
        <f t="shared" si="0"/>
        <v>تنبيه: أعد التعبئة</v>
      </c>
      <c r="L7" s="3"/>
      <c r="M7" s="3"/>
      <c r="N7" s="3"/>
    </row>
    <row r="8" spans="1:14" x14ac:dyDescent="0.35">
      <c r="A8" s="3"/>
      <c r="B8" s="3"/>
      <c r="C8" s="3"/>
      <c r="D8" s="3"/>
      <c r="E8" s="3"/>
      <c r="F8" s="3"/>
      <c r="G8" s="3"/>
      <c r="H8" s="3"/>
      <c r="I8" s="3"/>
      <c r="J8" s="6">
        <f t="shared" si="1"/>
        <v>0</v>
      </c>
      <c r="K8" s="3" t="str">
        <f t="shared" si="0"/>
        <v>تنبيه: أعد التعبئة</v>
      </c>
      <c r="L8" s="3"/>
      <c r="M8" s="3"/>
      <c r="N8" s="3"/>
    </row>
    <row r="9" spans="1:14" x14ac:dyDescent="0.35">
      <c r="A9" s="3"/>
      <c r="B9" s="3"/>
      <c r="C9" s="3"/>
      <c r="D9" s="3"/>
      <c r="E9" s="3"/>
      <c r="F9" s="3"/>
      <c r="G9" s="3"/>
      <c r="H9" s="3"/>
      <c r="I9" s="3"/>
      <c r="J9" s="6">
        <f t="shared" si="1"/>
        <v>0</v>
      </c>
      <c r="K9" s="3" t="str">
        <f t="shared" si="0"/>
        <v>تنبيه: أعد التعبئة</v>
      </c>
      <c r="L9" s="3"/>
      <c r="M9" s="3"/>
      <c r="N9" s="3"/>
    </row>
    <row r="10" spans="1:14" x14ac:dyDescent="0.35">
      <c r="A10" s="3"/>
      <c r="B10" s="3"/>
      <c r="C10" s="3"/>
      <c r="D10" s="3"/>
      <c r="E10" s="3"/>
      <c r="F10" s="3"/>
      <c r="G10" s="3"/>
      <c r="H10" s="3"/>
      <c r="I10" s="3"/>
      <c r="J10" s="6">
        <f t="shared" si="1"/>
        <v>0</v>
      </c>
      <c r="K10" s="3" t="str">
        <f t="shared" si="0"/>
        <v>تنبيه: أعد التعبئة</v>
      </c>
      <c r="L10" s="3"/>
      <c r="M10" s="3"/>
      <c r="N10" s="3"/>
    </row>
    <row r="11" spans="1:14" x14ac:dyDescent="0.35">
      <c r="A11" s="3"/>
      <c r="B11" s="3"/>
      <c r="C11" s="3"/>
      <c r="D11" s="3"/>
      <c r="E11" s="3"/>
      <c r="F11" s="3"/>
      <c r="G11" s="3"/>
      <c r="H11" s="3"/>
      <c r="I11" s="3"/>
      <c r="J11" s="6">
        <f t="shared" si="1"/>
        <v>0</v>
      </c>
      <c r="K11" s="3" t="str">
        <f t="shared" si="0"/>
        <v>تنبيه: أعد التعبئة</v>
      </c>
      <c r="L11" s="3"/>
      <c r="M11" s="3"/>
      <c r="N11" s="3"/>
    </row>
    <row r="12" spans="1:14" x14ac:dyDescent="0.35">
      <c r="A12" s="3"/>
      <c r="B12" s="3"/>
      <c r="C12" s="3"/>
      <c r="D12" s="3"/>
      <c r="E12" s="3"/>
      <c r="F12" s="3"/>
      <c r="G12" s="3"/>
      <c r="H12" s="3"/>
      <c r="I12" s="3"/>
      <c r="J12" s="6">
        <f t="shared" si="1"/>
        <v>0</v>
      </c>
      <c r="K12" s="3" t="str">
        <f t="shared" si="0"/>
        <v>تنبيه: أعد التعبئة</v>
      </c>
      <c r="L12" s="3"/>
      <c r="M12" s="3"/>
      <c r="N12" s="3"/>
    </row>
    <row r="13" spans="1:14" x14ac:dyDescent="0.35">
      <c r="A13" s="3"/>
      <c r="B13" s="3"/>
      <c r="C13" s="3"/>
      <c r="D13" s="3"/>
      <c r="E13" s="3"/>
      <c r="F13" s="3"/>
      <c r="G13" s="3"/>
      <c r="H13" s="3"/>
      <c r="I13" s="3"/>
      <c r="J13" s="6">
        <f t="shared" si="1"/>
        <v>0</v>
      </c>
      <c r="K13" s="3" t="str">
        <f t="shared" si="0"/>
        <v>تنبيه: أعد التعبئة</v>
      </c>
      <c r="L13" s="3"/>
      <c r="M13" s="3"/>
      <c r="N13" s="3"/>
    </row>
    <row r="14" spans="1:14" x14ac:dyDescent="0.35">
      <c r="A14" s="3"/>
      <c r="B14" s="3"/>
      <c r="C14" s="3"/>
      <c r="D14" s="3"/>
      <c r="E14" s="3"/>
      <c r="F14" s="3"/>
      <c r="G14" s="3"/>
      <c r="H14" s="3"/>
      <c r="I14" s="3"/>
      <c r="J14" s="6">
        <f t="shared" si="1"/>
        <v>0</v>
      </c>
      <c r="K14" s="3" t="str">
        <f t="shared" si="0"/>
        <v>تنبيه: أعد التعبئة</v>
      </c>
      <c r="L14" s="3"/>
      <c r="M14" s="3"/>
      <c r="N14" s="3"/>
    </row>
    <row r="15" spans="1:14" x14ac:dyDescent="0.35">
      <c r="A15" s="3"/>
      <c r="B15" s="3"/>
      <c r="C15" s="3"/>
      <c r="D15" s="3"/>
      <c r="E15" s="3"/>
      <c r="F15" s="3"/>
      <c r="G15" s="3"/>
      <c r="H15" s="3"/>
      <c r="I15" s="3"/>
      <c r="J15" s="6">
        <f t="shared" si="1"/>
        <v>0</v>
      </c>
      <c r="K15" s="3" t="str">
        <f t="shared" si="0"/>
        <v>تنبيه: أعد التعبئة</v>
      </c>
      <c r="L15" s="3"/>
      <c r="M15" s="3"/>
      <c r="N15" s="3"/>
    </row>
    <row r="16" spans="1:14" x14ac:dyDescent="0.35">
      <c r="A16" s="3"/>
      <c r="B16" s="3"/>
      <c r="C16" s="3"/>
      <c r="D16" s="3"/>
      <c r="E16" s="3"/>
      <c r="F16" s="3"/>
      <c r="G16" s="3"/>
      <c r="H16" s="3"/>
      <c r="I16" s="3"/>
      <c r="J16" s="6">
        <f t="shared" si="1"/>
        <v>0</v>
      </c>
      <c r="K16" s="3" t="str">
        <f t="shared" si="0"/>
        <v>تنبيه: أعد التعبئة</v>
      </c>
      <c r="L16" s="3"/>
      <c r="M16" s="3"/>
      <c r="N16" s="3"/>
    </row>
    <row r="17" spans="1:14" x14ac:dyDescent="0.35">
      <c r="A17" s="3"/>
      <c r="B17" s="3"/>
      <c r="C17" s="3"/>
      <c r="D17" s="3"/>
      <c r="E17" s="3"/>
      <c r="F17" s="3"/>
      <c r="G17" s="3"/>
      <c r="H17" s="3"/>
      <c r="I17" s="3"/>
      <c r="J17" s="6">
        <f t="shared" si="1"/>
        <v>0</v>
      </c>
      <c r="K17" s="3" t="str">
        <f t="shared" si="0"/>
        <v>تنبيه: أعد التعبئة</v>
      </c>
      <c r="L17" s="3"/>
      <c r="M17" s="3"/>
      <c r="N17" s="3"/>
    </row>
    <row r="18" spans="1:14" x14ac:dyDescent="0.35">
      <c r="A18" s="3"/>
      <c r="B18" s="3"/>
      <c r="C18" s="3"/>
      <c r="D18" s="3"/>
      <c r="E18" s="3"/>
      <c r="F18" s="3"/>
      <c r="G18" s="3"/>
      <c r="H18" s="3"/>
      <c r="I18" s="3"/>
      <c r="J18" s="6">
        <f t="shared" si="1"/>
        <v>0</v>
      </c>
      <c r="K18" s="3" t="str">
        <f t="shared" si="0"/>
        <v>تنبيه: أعد التعبئة</v>
      </c>
      <c r="L18" s="3"/>
      <c r="M18" s="3"/>
      <c r="N18" s="3"/>
    </row>
    <row r="19" spans="1:14" x14ac:dyDescent="0.35">
      <c r="A19" s="3"/>
      <c r="B19" s="3"/>
      <c r="C19" s="3"/>
      <c r="D19" s="3"/>
      <c r="E19" s="3"/>
      <c r="F19" s="3"/>
      <c r="G19" s="3"/>
      <c r="H19" s="3"/>
      <c r="I19" s="3"/>
      <c r="J19" s="6">
        <f t="shared" si="1"/>
        <v>0</v>
      </c>
      <c r="K19" s="3" t="str">
        <f t="shared" si="0"/>
        <v>تنبيه: أعد التعبئة</v>
      </c>
      <c r="L19" s="3"/>
      <c r="M19" s="3"/>
      <c r="N19" s="3"/>
    </row>
    <row r="20" spans="1:14" x14ac:dyDescent="0.35">
      <c r="A20" s="3"/>
      <c r="B20" s="3"/>
      <c r="C20" s="3"/>
      <c r="D20" s="3"/>
      <c r="E20" s="3"/>
      <c r="F20" s="3"/>
      <c r="G20" s="3"/>
      <c r="H20" s="3"/>
      <c r="I20" s="3"/>
      <c r="J20" s="6">
        <f t="shared" si="1"/>
        <v>0</v>
      </c>
      <c r="K20" s="3" t="str">
        <f t="shared" si="0"/>
        <v>تنبيه: أعد التعبئة</v>
      </c>
      <c r="L20" s="3"/>
      <c r="M20" s="3"/>
      <c r="N20" s="3"/>
    </row>
    <row r="21" spans="1:14" x14ac:dyDescent="0.35">
      <c r="A21" s="3"/>
      <c r="B21" s="3"/>
      <c r="C21" s="3"/>
      <c r="D21" s="3"/>
      <c r="E21" s="3"/>
      <c r="F21" s="3"/>
      <c r="G21" s="3"/>
      <c r="H21" s="3"/>
      <c r="I21" s="3"/>
      <c r="J21" s="6">
        <f t="shared" si="1"/>
        <v>0</v>
      </c>
      <c r="K21" s="3" t="str">
        <f t="shared" si="0"/>
        <v>تنبيه: أعد التعبئة</v>
      </c>
      <c r="L21" s="3"/>
      <c r="M21" s="3"/>
      <c r="N21" s="3"/>
    </row>
    <row r="22" spans="1:14" x14ac:dyDescent="0.35">
      <c r="A22" s="3"/>
      <c r="B22" s="3"/>
      <c r="C22" s="3"/>
      <c r="D22" s="3"/>
      <c r="E22" s="3"/>
      <c r="F22" s="3"/>
      <c r="G22" s="3"/>
      <c r="H22" s="3"/>
      <c r="I22" s="3"/>
      <c r="J22" s="6">
        <f t="shared" si="1"/>
        <v>0</v>
      </c>
      <c r="K22" s="3" t="str">
        <f t="shared" si="0"/>
        <v>تنبيه: أعد التعبئة</v>
      </c>
      <c r="L22" s="3"/>
      <c r="M22" s="3"/>
      <c r="N22" s="3"/>
    </row>
    <row r="23" spans="1:14" x14ac:dyDescent="0.35">
      <c r="A23" s="3"/>
      <c r="B23" s="3"/>
      <c r="C23" s="3"/>
      <c r="D23" s="3"/>
      <c r="E23" s="3"/>
      <c r="F23" s="3"/>
      <c r="G23" s="3"/>
      <c r="H23" s="3"/>
      <c r="I23" s="3"/>
      <c r="J23" s="6">
        <f t="shared" si="1"/>
        <v>0</v>
      </c>
      <c r="K23" s="3" t="str">
        <f t="shared" si="0"/>
        <v>تنبيه: أعد التعبئة</v>
      </c>
      <c r="L23" s="3"/>
      <c r="M23" s="3"/>
      <c r="N23" s="3"/>
    </row>
    <row r="24" spans="1:14" x14ac:dyDescent="0.35">
      <c r="A24" s="3"/>
      <c r="B24" s="3"/>
      <c r="C24" s="3"/>
      <c r="D24" s="3"/>
      <c r="E24" s="3"/>
      <c r="F24" s="3"/>
      <c r="G24" s="3"/>
      <c r="H24" s="3"/>
      <c r="I24" s="3"/>
      <c r="J24" s="6">
        <f t="shared" si="1"/>
        <v>0</v>
      </c>
      <c r="K24" s="3" t="str">
        <f t="shared" si="0"/>
        <v>تنبيه: أعد التعبئة</v>
      </c>
      <c r="L24" s="3"/>
      <c r="M24" s="3"/>
      <c r="N24" s="3"/>
    </row>
    <row r="25" spans="1:14" x14ac:dyDescent="0.35">
      <c r="A25" s="3"/>
      <c r="B25" s="3"/>
      <c r="C25" s="3"/>
      <c r="D25" s="3"/>
      <c r="E25" s="3"/>
      <c r="F25" s="3"/>
      <c r="G25" s="3"/>
      <c r="H25" s="3"/>
      <c r="I25" s="3"/>
      <c r="J25" s="6">
        <f t="shared" si="1"/>
        <v>0</v>
      </c>
      <c r="K25" s="3" t="str">
        <f t="shared" si="0"/>
        <v>تنبيه: أعد التعبئة</v>
      </c>
      <c r="L25" s="3"/>
      <c r="M25" s="3"/>
      <c r="N25" s="3"/>
    </row>
    <row r="26" spans="1:14" x14ac:dyDescent="0.35">
      <c r="A26" s="3"/>
      <c r="B26" s="3"/>
      <c r="C26" s="3"/>
      <c r="D26" s="3"/>
      <c r="E26" s="3"/>
      <c r="F26" s="3"/>
      <c r="G26" s="3"/>
      <c r="H26" s="3"/>
      <c r="I26" s="3"/>
      <c r="J26" s="6">
        <f t="shared" si="1"/>
        <v>0</v>
      </c>
      <c r="K26" s="3" t="str">
        <f t="shared" si="0"/>
        <v>تنبيه: أعد التعبئة</v>
      </c>
      <c r="L26" s="3"/>
      <c r="M26" s="3"/>
      <c r="N26" s="3"/>
    </row>
    <row r="27" spans="1:14" x14ac:dyDescent="0.35">
      <c r="A27" s="3"/>
      <c r="B27" s="3"/>
      <c r="C27" s="3"/>
      <c r="D27" s="3"/>
      <c r="E27" s="3"/>
      <c r="F27" s="3"/>
      <c r="G27" s="3"/>
      <c r="H27" s="3"/>
      <c r="I27" s="3"/>
      <c r="J27" s="6">
        <f t="shared" si="1"/>
        <v>0</v>
      </c>
      <c r="K27" s="3" t="str">
        <f t="shared" si="0"/>
        <v>تنبيه: أعد التعبئة</v>
      </c>
      <c r="L27" s="3"/>
      <c r="M27" s="3"/>
      <c r="N27" s="3"/>
    </row>
    <row r="28" spans="1:14" x14ac:dyDescent="0.35">
      <c r="A28" s="3"/>
      <c r="B28" s="3"/>
      <c r="C28" s="3"/>
      <c r="D28" s="3"/>
      <c r="E28" s="3"/>
      <c r="F28" s="3"/>
      <c r="G28" s="3"/>
      <c r="H28" s="3"/>
      <c r="I28" s="3"/>
      <c r="J28" s="6">
        <f t="shared" si="1"/>
        <v>0</v>
      </c>
      <c r="K28" s="3" t="str">
        <f t="shared" si="0"/>
        <v>تنبيه: أعد التعبئة</v>
      </c>
      <c r="L28" s="3"/>
      <c r="M28" s="3"/>
      <c r="N28" s="3"/>
    </row>
    <row r="29" spans="1:14" x14ac:dyDescent="0.35">
      <c r="A29" s="3"/>
      <c r="B29" s="3"/>
      <c r="C29" s="3"/>
      <c r="D29" s="3"/>
      <c r="E29" s="3"/>
      <c r="F29" s="3"/>
      <c r="G29" s="3"/>
      <c r="H29" s="3"/>
      <c r="I29" s="3"/>
      <c r="J29" s="6">
        <f t="shared" si="1"/>
        <v>0</v>
      </c>
      <c r="K29" s="3" t="str">
        <f t="shared" si="0"/>
        <v>تنبيه: أعد التعبئة</v>
      </c>
      <c r="L29" s="3"/>
      <c r="M29" s="3"/>
      <c r="N29" s="3"/>
    </row>
    <row r="30" spans="1:14" x14ac:dyDescent="0.35">
      <c r="A30" s="3"/>
      <c r="B30" s="3"/>
      <c r="C30" s="3"/>
      <c r="D30" s="3"/>
      <c r="E30" s="3"/>
      <c r="F30" s="3"/>
      <c r="G30" s="3"/>
      <c r="H30" s="3"/>
      <c r="I30" s="3"/>
      <c r="J30" s="6">
        <f t="shared" si="1"/>
        <v>0</v>
      </c>
      <c r="K30" s="3" t="str">
        <f t="shared" si="0"/>
        <v>تنبيه: أعد التعبئة</v>
      </c>
      <c r="L30" s="3"/>
      <c r="M30" s="3"/>
      <c r="N30" s="3"/>
    </row>
    <row r="31" spans="1:14" x14ac:dyDescent="0.35">
      <c r="A31" s="3"/>
      <c r="B31" s="3"/>
      <c r="C31" s="3"/>
      <c r="D31" s="3"/>
      <c r="E31" s="3"/>
      <c r="F31" s="3"/>
      <c r="G31" s="3"/>
      <c r="H31" s="3"/>
      <c r="I31" s="3"/>
      <c r="J31" s="6">
        <f t="shared" si="1"/>
        <v>0</v>
      </c>
      <c r="K31" s="3" t="str">
        <f t="shared" si="0"/>
        <v>تنبيه: أعد التعبئة</v>
      </c>
      <c r="L31" s="3"/>
      <c r="M31" s="3"/>
      <c r="N31" s="3"/>
    </row>
    <row r="32" spans="1:14" x14ac:dyDescent="0.35">
      <c r="A32" s="3"/>
      <c r="B32" s="3"/>
      <c r="C32" s="3"/>
      <c r="D32" s="3"/>
      <c r="E32" s="3"/>
      <c r="F32" s="3"/>
      <c r="G32" s="3"/>
      <c r="H32" s="3"/>
      <c r="I32" s="3"/>
      <c r="J32" s="6">
        <f t="shared" si="1"/>
        <v>0</v>
      </c>
      <c r="K32" s="3" t="str">
        <f t="shared" si="0"/>
        <v>تنبيه: أعد التعبئة</v>
      </c>
      <c r="L32" s="3"/>
      <c r="M32" s="3"/>
      <c r="N32" s="3"/>
    </row>
    <row r="33" spans="1:14" x14ac:dyDescent="0.35">
      <c r="A33" s="3"/>
      <c r="B33" s="3"/>
      <c r="C33" s="3"/>
      <c r="D33" s="3"/>
      <c r="E33" s="3"/>
      <c r="F33" s="3"/>
      <c r="G33" s="3"/>
      <c r="H33" s="3"/>
      <c r="I33" s="3"/>
      <c r="J33" s="6">
        <f t="shared" si="1"/>
        <v>0</v>
      </c>
      <c r="K33" s="3" t="str">
        <f t="shared" si="0"/>
        <v>تنبيه: أعد التعبئة</v>
      </c>
      <c r="L33" s="3"/>
      <c r="M33" s="3"/>
      <c r="N33" s="3"/>
    </row>
    <row r="34" spans="1:14" x14ac:dyDescent="0.35">
      <c r="A34" s="3"/>
      <c r="B34" s="3"/>
      <c r="C34" s="3"/>
      <c r="D34" s="3"/>
      <c r="E34" s="3"/>
      <c r="F34" s="3"/>
      <c r="G34" s="3"/>
      <c r="H34" s="3"/>
      <c r="I34" s="3"/>
      <c r="J34" s="6">
        <f t="shared" si="1"/>
        <v>0</v>
      </c>
      <c r="K34" s="3" t="str">
        <f t="shared" si="0"/>
        <v>تنبيه: أعد التعبئة</v>
      </c>
      <c r="L34" s="3"/>
      <c r="M34" s="3"/>
      <c r="N34" s="3"/>
    </row>
    <row r="35" spans="1:14" x14ac:dyDescent="0.35">
      <c r="A35" s="4" t="s">
        <v>18</v>
      </c>
      <c r="B35" s="3"/>
      <c r="C35" s="3"/>
      <c r="D35" s="3"/>
      <c r="E35" s="3"/>
      <c r="F35" s="3"/>
      <c r="G35" s="5">
        <f>SUM(G4:G34)</f>
        <v>0</v>
      </c>
      <c r="H35" s="5">
        <f>SUM(H4:H34)</f>
        <v>0</v>
      </c>
      <c r="I35" s="3"/>
      <c r="J35" s="3"/>
      <c r="K35" s="3"/>
      <c r="L35" s="3"/>
      <c r="M35" s="3"/>
      <c r="N35" s="3"/>
    </row>
  </sheetData>
  <mergeCells count="1">
    <mergeCell ref="A1:N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0</xdr:row>
                    <xdr:rowOff>50800</xdr:rowOff>
                  </from>
                  <to>
                    <xdr:col>6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AddNewRowToCurrentSheet">
                <anchor moveWithCells="1" sizeWithCells="1">
                  <from>
                    <xdr:col>5</xdr:col>
                    <xdr:colOff>298450</xdr:colOff>
                    <xdr:row>49</xdr:row>
                    <xdr:rowOff>6350</xdr:rowOff>
                  </from>
                  <to>
                    <xdr:col>6</xdr:col>
                    <xdr:colOff>762000</xdr:colOff>
                    <xdr:row>50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DB543-00B2-40BD-AB51-6A294B7BF922}">
  <sheetPr codeName="Sheet13"/>
  <dimension ref="A1:I17"/>
  <sheetViews>
    <sheetView rightToLeft="1" workbookViewId="0"/>
  </sheetViews>
  <sheetFormatPr defaultRowHeight="14.5" x14ac:dyDescent="0.35"/>
  <cols>
    <col min="1" max="1" width="6.6328125" customWidth="1"/>
    <col min="2" max="2" width="16.6328125" customWidth="1"/>
    <col min="3" max="3" width="20.6328125" customWidth="1"/>
    <col min="4" max="5" width="24.6328125" customWidth="1"/>
    <col min="6" max="8" width="22.6328125" customWidth="1"/>
  </cols>
  <sheetData>
    <row r="1" spans="1:9" ht="21" x14ac:dyDescent="0.5">
      <c r="A1" s="12" t="s">
        <v>29</v>
      </c>
      <c r="B1" s="12"/>
      <c r="C1" s="12"/>
      <c r="D1" s="12"/>
      <c r="E1" s="12"/>
      <c r="F1" s="12"/>
      <c r="G1" s="12"/>
      <c r="H1" s="12"/>
      <c r="I1" s="12"/>
    </row>
    <row r="2" spans="1:9" x14ac:dyDescent="0.35">
      <c r="A2" s="7" t="s">
        <v>30</v>
      </c>
    </row>
    <row r="4" spans="1:9" x14ac:dyDescent="0.35">
      <c r="A4" s="8" t="s">
        <v>31</v>
      </c>
      <c r="B4" s="8" t="s">
        <v>32</v>
      </c>
      <c r="C4" s="8" t="s">
        <v>33</v>
      </c>
      <c r="D4" s="8" t="s">
        <v>34</v>
      </c>
      <c r="E4" s="8" t="s">
        <v>35</v>
      </c>
      <c r="F4" s="8" t="s">
        <v>36</v>
      </c>
      <c r="G4" s="8" t="s">
        <v>37</v>
      </c>
      <c r="H4" s="8" t="s">
        <v>38</v>
      </c>
    </row>
    <row r="5" spans="1:9" x14ac:dyDescent="0.35">
      <c r="A5" s="9"/>
      <c r="B5" s="3" t="s">
        <v>39</v>
      </c>
      <c r="C5" s="6">
        <f>'01-يناير'!J4</f>
        <v>0</v>
      </c>
      <c r="D5" s="6">
        <f>'01-يناير'!H35</f>
        <v>0</v>
      </c>
      <c r="E5" s="6">
        <f>'01-يناير'!G35</f>
        <v>0</v>
      </c>
      <c r="F5" s="6">
        <f t="shared" ref="F5:F17" si="0">D5-E5</f>
        <v>0</v>
      </c>
      <c r="G5" s="6">
        <f>'01-يناير'!J35</f>
        <v>0</v>
      </c>
      <c r="H5" s="9" t="str">
        <f t="shared" ref="H5:H16" si="1">IF(G5&lt;200, "⚠️ عجز سيولة", "✅ مستقر")</f>
        <v>⚠️ عجز سيولة</v>
      </c>
    </row>
    <row r="6" spans="1:9" x14ac:dyDescent="0.35">
      <c r="A6" s="9"/>
      <c r="B6" s="3" t="s">
        <v>40</v>
      </c>
      <c r="C6" s="6">
        <f>'02-فبراير'!J4</f>
        <v>0</v>
      </c>
      <c r="D6" s="6">
        <f>'02-فبراير'!H35</f>
        <v>0</v>
      </c>
      <c r="E6" s="6">
        <f>'02-فبراير'!G35</f>
        <v>0</v>
      </c>
      <c r="F6" s="6">
        <f t="shared" si="0"/>
        <v>0</v>
      </c>
      <c r="G6" s="6">
        <f>'02-فبراير'!J35</f>
        <v>0</v>
      </c>
      <c r="H6" s="9" t="str">
        <f t="shared" si="1"/>
        <v>⚠️ عجز سيولة</v>
      </c>
    </row>
    <row r="7" spans="1:9" x14ac:dyDescent="0.35">
      <c r="A7" s="9"/>
      <c r="B7" s="3" t="s">
        <v>41</v>
      </c>
      <c r="C7" s="6">
        <f>'03-مارس'!J4</f>
        <v>0</v>
      </c>
      <c r="D7" s="6">
        <f>'03-مارس'!H35</f>
        <v>0</v>
      </c>
      <c r="E7" s="6">
        <f>'03-مارس'!G35</f>
        <v>0</v>
      </c>
      <c r="F7" s="6">
        <f t="shared" si="0"/>
        <v>0</v>
      </c>
      <c r="G7" s="6">
        <f>'03-مارس'!J35</f>
        <v>0</v>
      </c>
      <c r="H7" s="9" t="str">
        <f t="shared" si="1"/>
        <v>⚠️ عجز سيولة</v>
      </c>
    </row>
    <row r="8" spans="1:9" x14ac:dyDescent="0.35">
      <c r="A8" s="9"/>
      <c r="B8" s="3" t="s">
        <v>42</v>
      </c>
      <c r="C8" s="6">
        <f>'04-أبريل'!J4</f>
        <v>0</v>
      </c>
      <c r="D8" s="6">
        <f>'04-أبريل'!H35</f>
        <v>0</v>
      </c>
      <c r="E8" s="6">
        <f>'04-أبريل'!G35</f>
        <v>0</v>
      </c>
      <c r="F8" s="6">
        <f t="shared" si="0"/>
        <v>0</v>
      </c>
      <c r="G8" s="6">
        <f>'04-أبريل'!J35</f>
        <v>0</v>
      </c>
      <c r="H8" s="9" t="str">
        <f t="shared" si="1"/>
        <v>⚠️ عجز سيولة</v>
      </c>
    </row>
    <row r="9" spans="1:9" x14ac:dyDescent="0.35">
      <c r="A9" s="9"/>
      <c r="B9" s="3" t="s">
        <v>43</v>
      </c>
      <c r="C9" s="6">
        <f>'05-مايو'!J4</f>
        <v>0</v>
      </c>
      <c r="D9" s="6">
        <f>'05-مايو'!H35</f>
        <v>0</v>
      </c>
      <c r="E9" s="6">
        <f>'05-مايو'!G35</f>
        <v>0</v>
      </c>
      <c r="F9" s="6">
        <f t="shared" si="0"/>
        <v>0</v>
      </c>
      <c r="G9" s="6">
        <f>'05-مايو'!J35</f>
        <v>0</v>
      </c>
      <c r="H9" s="9" t="str">
        <f t="shared" si="1"/>
        <v>⚠️ عجز سيولة</v>
      </c>
    </row>
    <row r="10" spans="1:9" x14ac:dyDescent="0.35">
      <c r="A10" s="9"/>
      <c r="B10" s="3" t="s">
        <v>44</v>
      </c>
      <c r="C10" s="6">
        <f>'06-يونيو'!J4</f>
        <v>0</v>
      </c>
      <c r="D10" s="6">
        <f>'06-يونيو'!H35</f>
        <v>0</v>
      </c>
      <c r="E10" s="6">
        <f>'06-يونيو'!G35</f>
        <v>0</v>
      </c>
      <c r="F10" s="6">
        <f t="shared" si="0"/>
        <v>0</v>
      </c>
      <c r="G10" s="6">
        <f>'06-يونيو'!J35</f>
        <v>0</v>
      </c>
      <c r="H10" s="9" t="str">
        <f t="shared" si="1"/>
        <v>⚠️ عجز سيولة</v>
      </c>
    </row>
    <row r="11" spans="1:9" x14ac:dyDescent="0.35">
      <c r="A11" s="9"/>
      <c r="B11" s="3" t="s">
        <v>45</v>
      </c>
      <c r="C11" s="6">
        <f>'07-يوليو'!J4</f>
        <v>0</v>
      </c>
      <c r="D11" s="6">
        <f>'07-يوليو'!H35</f>
        <v>0</v>
      </c>
      <c r="E11" s="6">
        <f>'07-يوليو'!G35</f>
        <v>0</v>
      </c>
      <c r="F11" s="6">
        <f t="shared" si="0"/>
        <v>0</v>
      </c>
      <c r="G11" s="6">
        <f>'07-يوليو'!J35</f>
        <v>0</v>
      </c>
      <c r="H11" s="9" t="str">
        <f t="shared" si="1"/>
        <v>⚠️ عجز سيولة</v>
      </c>
    </row>
    <row r="12" spans="1:9" x14ac:dyDescent="0.35">
      <c r="A12" s="9"/>
      <c r="B12" s="3" t="s">
        <v>46</v>
      </c>
      <c r="C12" s="6">
        <f>'08-أغسطس'!J4</f>
        <v>0</v>
      </c>
      <c r="D12" s="6">
        <f>'08-أغسطس'!H35</f>
        <v>0</v>
      </c>
      <c r="E12" s="6">
        <f>'08-أغسطس'!G35</f>
        <v>0</v>
      </c>
      <c r="F12" s="6">
        <f t="shared" si="0"/>
        <v>0</v>
      </c>
      <c r="G12" s="6">
        <f>'08-أغسطس'!J35</f>
        <v>0</v>
      </c>
      <c r="H12" s="9" t="str">
        <f t="shared" si="1"/>
        <v>⚠️ عجز سيولة</v>
      </c>
    </row>
    <row r="13" spans="1:9" x14ac:dyDescent="0.35">
      <c r="A13" s="9"/>
      <c r="B13" s="3" t="s">
        <v>47</v>
      </c>
      <c r="C13" s="6">
        <f>'09-سبتمبر'!J4</f>
        <v>0</v>
      </c>
      <c r="D13" s="6">
        <f>'09-سبتمبر'!H35</f>
        <v>0</v>
      </c>
      <c r="E13" s="6">
        <f>'09-سبتمبر'!G35</f>
        <v>0</v>
      </c>
      <c r="F13" s="6">
        <f t="shared" si="0"/>
        <v>0</v>
      </c>
      <c r="G13" s="6">
        <f>'09-سبتمبر'!J35</f>
        <v>0</v>
      </c>
      <c r="H13" s="9" t="str">
        <f t="shared" si="1"/>
        <v>⚠️ عجز سيولة</v>
      </c>
    </row>
    <row r="14" spans="1:9" x14ac:dyDescent="0.35">
      <c r="A14" s="9"/>
      <c r="B14" s="3" t="s">
        <v>48</v>
      </c>
      <c r="C14" s="6">
        <f>'10-أكتوبر'!J4</f>
        <v>0</v>
      </c>
      <c r="D14" s="6">
        <f>'10-أكتوبر'!H35</f>
        <v>0</v>
      </c>
      <c r="E14" s="6">
        <f>'10-أكتوبر'!G35</f>
        <v>0</v>
      </c>
      <c r="F14" s="6">
        <f t="shared" si="0"/>
        <v>0</v>
      </c>
      <c r="G14" s="6">
        <f>'10-أكتوبر'!J35</f>
        <v>0</v>
      </c>
      <c r="H14" s="9" t="str">
        <f t="shared" si="1"/>
        <v>⚠️ عجز سيولة</v>
      </c>
    </row>
    <row r="15" spans="1:9" x14ac:dyDescent="0.35">
      <c r="A15" s="9"/>
      <c r="B15" s="3" t="s">
        <v>49</v>
      </c>
      <c r="C15" s="6">
        <f>'11-نوفمبر'!J4</f>
        <v>0</v>
      </c>
      <c r="D15" s="6">
        <f>'11-نوفمبر'!H35</f>
        <v>0</v>
      </c>
      <c r="E15" s="6">
        <f>'11-نوفمبر'!G35</f>
        <v>0</v>
      </c>
      <c r="F15" s="6">
        <f t="shared" si="0"/>
        <v>0</v>
      </c>
      <c r="G15" s="6">
        <f>'11-نوفمبر'!J35</f>
        <v>0</v>
      </c>
      <c r="H15" s="9" t="str">
        <f t="shared" si="1"/>
        <v>⚠️ عجز سيولة</v>
      </c>
    </row>
    <row r="16" spans="1:9" x14ac:dyDescent="0.35">
      <c r="A16" s="9"/>
      <c r="B16" s="3" t="s">
        <v>50</v>
      </c>
      <c r="C16" s="6">
        <f>'12-ديسمبر'!J4</f>
        <v>0</v>
      </c>
      <c r="D16" s="6">
        <f>'12-ديسمبر'!H35</f>
        <v>0</v>
      </c>
      <c r="E16" s="6">
        <f>'12-ديسمبر'!G35</f>
        <v>0</v>
      </c>
      <c r="F16" s="6">
        <f t="shared" si="0"/>
        <v>0</v>
      </c>
      <c r="G16" s="6">
        <f>'12-ديسمبر'!J35</f>
        <v>0</v>
      </c>
      <c r="H16" s="9" t="str">
        <f t="shared" si="1"/>
        <v>⚠️ عجز سيولة</v>
      </c>
    </row>
    <row r="17" spans="1:8" x14ac:dyDescent="0.35">
      <c r="A17" s="13" t="s">
        <v>51</v>
      </c>
      <c r="B17" s="13"/>
      <c r="C17" s="3"/>
      <c r="D17" s="5">
        <f>SUM(D5:D16)</f>
        <v>0</v>
      </c>
      <c r="E17" s="5">
        <f>SUM(E5:E16)</f>
        <v>0</v>
      </c>
      <c r="F17" s="5">
        <f t="shared" si="0"/>
        <v>0</v>
      </c>
      <c r="G17" s="5">
        <f>G16</f>
        <v>0</v>
      </c>
      <c r="H17" s="3"/>
    </row>
  </sheetData>
  <mergeCells count="2">
    <mergeCell ref="A1:I1"/>
    <mergeCell ref="A17:B1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8CDD6-604F-4702-8995-874A46C55C19}">
  <sheetPr codeName="Sheet14"/>
  <dimension ref="A1:F10"/>
  <sheetViews>
    <sheetView rightToLeft="1" workbookViewId="0">
      <selection sqref="A1:F1"/>
    </sheetView>
  </sheetViews>
  <sheetFormatPr defaultRowHeight="14.5" x14ac:dyDescent="0.35"/>
  <cols>
    <col min="1" max="1" width="45.6328125" customWidth="1"/>
    <col min="2" max="2" width="25.6328125" customWidth="1"/>
    <col min="3" max="3" width="18.6328125" customWidth="1"/>
    <col min="4" max="4" width="20.6328125" customWidth="1"/>
  </cols>
  <sheetData>
    <row r="1" spans="1:6" ht="21" x14ac:dyDescent="0.5">
      <c r="A1" s="12" t="s">
        <v>52</v>
      </c>
      <c r="B1" s="12"/>
      <c r="C1" s="12"/>
      <c r="D1" s="12"/>
      <c r="E1" s="12"/>
      <c r="F1" s="12"/>
    </row>
    <row r="3" spans="1:6" ht="16" x14ac:dyDescent="0.4">
      <c r="A3" s="14" t="s">
        <v>53</v>
      </c>
      <c r="B3" s="14"/>
      <c r="C3" s="14"/>
      <c r="D3" s="14"/>
    </row>
    <row r="5" spans="1:6" x14ac:dyDescent="0.35">
      <c r="A5" s="2" t="s">
        <v>54</v>
      </c>
      <c r="B5" s="2" t="s">
        <v>55</v>
      </c>
      <c r="C5" s="2" t="s">
        <v>56</v>
      </c>
      <c r="D5" s="2" t="s">
        <v>57</v>
      </c>
    </row>
    <row r="6" spans="1:6" x14ac:dyDescent="0.35">
      <c r="A6" s="4" t="s">
        <v>58</v>
      </c>
      <c r="B6" s="6">
        <f>داشبورد_مجمع_الشهور!D17</f>
        <v>0</v>
      </c>
      <c r="C6" s="3" t="s">
        <v>59</v>
      </c>
      <c r="D6" s="9" t="str">
        <f>IF(B6&gt;=0, "✅ إيجابي", "⚠️ عجز")</f>
        <v>✅ إيجابي</v>
      </c>
    </row>
    <row r="7" spans="1:6" x14ac:dyDescent="0.35">
      <c r="A7" s="4" t="s">
        <v>60</v>
      </c>
      <c r="B7" s="6">
        <f>داشبورد_مجمع_الشهور!E17</f>
        <v>0</v>
      </c>
      <c r="C7" s="3" t="s">
        <v>59</v>
      </c>
      <c r="D7" s="9" t="str">
        <f>IF(B7&gt;=0, "✅ إيجابي", "⚠️ عجز")</f>
        <v>✅ إيجابي</v>
      </c>
    </row>
    <row r="8" spans="1:6" x14ac:dyDescent="0.35">
      <c r="A8" s="4" t="s">
        <v>61</v>
      </c>
      <c r="B8" s="6">
        <f>داشبورد_مجمع_الشهور!F17</f>
        <v>0</v>
      </c>
      <c r="C8" s="3" t="s">
        <v>59</v>
      </c>
      <c r="D8" s="9" t="str">
        <f>IF(B8&gt;=0, "✅ إيجابي", "⚠️ عجز")</f>
        <v>✅ إيجابي</v>
      </c>
    </row>
    <row r="9" spans="1:6" x14ac:dyDescent="0.35">
      <c r="A9" s="4" t="s">
        <v>62</v>
      </c>
      <c r="B9" s="6">
        <f>داشبورد_مجمع_الشهور!G17</f>
        <v>0</v>
      </c>
      <c r="C9" s="3" t="s">
        <v>59</v>
      </c>
      <c r="D9" s="9" t="str">
        <f>IF(B9&gt;=0, "✅ إيجابي", "⚠️ عجز")</f>
        <v>✅ إيجابي</v>
      </c>
    </row>
    <row r="10" spans="1:6" x14ac:dyDescent="0.35">
      <c r="A10" s="4" t="s">
        <v>63</v>
      </c>
      <c r="B10" s="10" t="e">
        <f>داشبورد_مجمع_الشهور!D17/داشبورد_مجمع_الشهور!E17</f>
        <v>#DIV/0!</v>
      </c>
      <c r="C10" s="3" t="s">
        <v>64</v>
      </c>
      <c r="D10" s="9" t="e">
        <f>IF(B10&gt;=1, "✅ إيجابي", "⚠️ مصروفات أعلى")</f>
        <v>#DIV/0!</v>
      </c>
    </row>
  </sheetData>
  <mergeCells count="2">
    <mergeCell ref="A1:F1"/>
    <mergeCell ref="A3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01-يناير</vt:lpstr>
      <vt:lpstr>02-فبراير</vt:lpstr>
      <vt:lpstr>03-مارس</vt:lpstr>
      <vt:lpstr>04-أبريل</vt:lpstr>
      <vt:lpstr>05-مايو</vt:lpstr>
      <vt:lpstr>06-يونيو</vt:lpstr>
      <vt:lpstr>07-يوليو</vt:lpstr>
      <vt:lpstr>08-أغسطس</vt:lpstr>
      <vt:lpstr>09-سبتمبر</vt:lpstr>
      <vt:lpstr>10-أكتوبر</vt:lpstr>
      <vt:lpstr>11-نوفمبر</vt:lpstr>
      <vt:lpstr>12-ديسمبر</vt:lpstr>
      <vt:lpstr>داشبورد_مجمع_الشهور</vt:lpstr>
      <vt:lpstr>داشبورد_Year_To_Date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Elmangalify</dc:creator>
  <cp:lastModifiedBy>Kamel Elmangalify</cp:lastModifiedBy>
  <dcterms:created xsi:type="dcterms:W3CDTF">2026-09-03T08:36:51Z</dcterms:created>
  <dcterms:modified xsi:type="dcterms:W3CDTF">2026-09-03T08:45:40Z</dcterms:modified>
</cp:coreProperties>
</file>