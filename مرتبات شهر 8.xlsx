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enu\"/>
    </mc:Choice>
  </mc:AlternateContent>
  <xr:revisionPtr revIDLastSave="0" documentId="13_ncr:1_{BB6A5742-7E11-48EE-8B1C-065C4D6EFB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F10" i="1"/>
  <c r="F7" i="1"/>
  <c r="F11" i="1" s="1"/>
  <c r="I4" i="1"/>
  <c r="I5" i="1"/>
  <c r="I6" i="1"/>
  <c r="I7" i="1"/>
  <c r="I8" i="1"/>
  <c r="I9" i="1"/>
  <c r="I10" i="1"/>
  <c r="I3" i="1"/>
  <c r="G11" i="1"/>
  <c r="F5" i="1"/>
  <c r="F4" i="1"/>
</calcChain>
</file>

<file path=xl/sharedStrings.xml><?xml version="1.0" encoding="utf-8"?>
<sst xmlns="http://schemas.openxmlformats.org/spreadsheetml/2006/main" count="28" uniqueCount="21">
  <si>
    <t>الأسم</t>
  </si>
  <si>
    <t>الراتب</t>
  </si>
  <si>
    <t>تاريخ بدء العمل</t>
  </si>
  <si>
    <t>تاريخ نهاية العمل</t>
  </si>
  <si>
    <t>صافي الايام</t>
  </si>
  <si>
    <t xml:space="preserve">السلف </t>
  </si>
  <si>
    <t>الخصومات</t>
  </si>
  <si>
    <t>الصافي</t>
  </si>
  <si>
    <t xml:space="preserve">يوسف </t>
  </si>
  <si>
    <t>محمد المنسي</t>
  </si>
  <si>
    <t>على كمال</t>
  </si>
  <si>
    <t>مدحت</t>
  </si>
  <si>
    <t xml:space="preserve">علا </t>
  </si>
  <si>
    <t>جومانه</t>
  </si>
  <si>
    <t>منة</t>
  </si>
  <si>
    <t>ملاحظات</t>
  </si>
  <si>
    <t>12 ساعة</t>
  </si>
  <si>
    <t>الاجمالي</t>
  </si>
  <si>
    <t>رواتب شهر اغسطس 2026</t>
  </si>
  <si>
    <t>تم</t>
  </si>
  <si>
    <t xml:space="preserve">هادي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</si>
</sst>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" fontId="0" fillId="0" borderId="1" xfId="0" applyNumberFormat="1" applyBorder="1"/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rightToLeft="1" tabSelected="1" workbookViewId="0">
      <selection activeCell="I11" sqref="I11"/>
    </sheetView>
  </sheetViews>
  <sheetFormatPr defaultRowHeight="14.5" x14ac:dyDescent="0.35"/>
  <cols>
    <col min="1" max="1" width="9.7265625" bestFit="1" customWidth="1"/>
    <col min="3" max="3" width="11.1796875" bestFit="1" customWidth="1"/>
    <col min="4" max="4" width="12.08984375" bestFit="1" customWidth="1"/>
    <col min="5" max="5" width="7.6328125" bestFit="1" customWidth="1"/>
    <col min="6" max="6" width="7.6328125" customWidth="1"/>
  </cols>
  <sheetData>
    <row r="1" spans="1:10" ht="15" thickBot="1" x14ac:dyDescent="0.4">
      <c r="A1" s="12" t="s">
        <v>18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17</v>
      </c>
      <c r="G2" s="5" t="s">
        <v>5</v>
      </c>
      <c r="H2" s="5" t="s">
        <v>6</v>
      </c>
      <c r="I2" s="5" t="s">
        <v>7</v>
      </c>
      <c r="J2" s="6" t="s">
        <v>15</v>
      </c>
    </row>
    <row r="3" spans="1:10" x14ac:dyDescent="0.35">
      <c r="A3" s="7" t="s">
        <v>8</v>
      </c>
      <c r="B3" s="1">
        <v>8000</v>
      </c>
      <c r="C3" s="1"/>
      <c r="D3" s="1"/>
      <c r="E3" s="1">
        <v>30</v>
      </c>
      <c r="F3" s="1">
        <v>8000</v>
      </c>
      <c r="G3" s="1">
        <v>1500</v>
      </c>
      <c r="H3" s="1"/>
      <c r="I3" s="1">
        <f>F3-G3</f>
        <v>6500</v>
      </c>
      <c r="J3" s="8" t="s">
        <v>16</v>
      </c>
    </row>
    <row r="4" spans="1:10" x14ac:dyDescent="0.35">
      <c r="A4" s="7" t="s">
        <v>9</v>
      </c>
      <c r="B4" s="1">
        <v>7000</v>
      </c>
      <c r="C4" s="2">
        <v>46240</v>
      </c>
      <c r="D4" s="2">
        <v>46265</v>
      </c>
      <c r="E4" s="2"/>
      <c r="F4" s="3">
        <f>B4-((B4/30)*6)</f>
        <v>5600</v>
      </c>
      <c r="G4" s="3">
        <v>1200</v>
      </c>
      <c r="H4" s="1"/>
      <c r="I4" s="1">
        <f t="shared" ref="I4:I10" si="0">F4-G4</f>
        <v>4400</v>
      </c>
      <c r="J4" s="8" t="s">
        <v>19</v>
      </c>
    </row>
    <row r="5" spans="1:10" x14ac:dyDescent="0.35">
      <c r="A5" s="7" t="s">
        <v>10</v>
      </c>
      <c r="B5" s="1">
        <v>4000</v>
      </c>
      <c r="C5" s="2">
        <v>46242</v>
      </c>
      <c r="D5" s="1"/>
      <c r="E5" s="1"/>
      <c r="F5" s="3">
        <f>B5-((B5/30)*7)</f>
        <v>3066.6666666666665</v>
      </c>
      <c r="G5" s="1"/>
      <c r="H5" s="1"/>
      <c r="I5" s="1">
        <f t="shared" si="0"/>
        <v>3066.6666666666665</v>
      </c>
      <c r="J5" s="8" t="s">
        <v>19</v>
      </c>
    </row>
    <row r="6" spans="1:10" x14ac:dyDescent="0.35">
      <c r="A6" s="7" t="s">
        <v>11</v>
      </c>
      <c r="B6" s="1">
        <v>5000</v>
      </c>
      <c r="C6" s="1"/>
      <c r="D6" s="1"/>
      <c r="E6" s="1"/>
      <c r="F6" s="1">
        <v>5000</v>
      </c>
      <c r="G6" s="1">
        <v>1100</v>
      </c>
      <c r="H6" s="1"/>
      <c r="I6" s="1">
        <f t="shared" si="0"/>
        <v>3900</v>
      </c>
      <c r="J6" s="8" t="s">
        <v>19</v>
      </c>
    </row>
    <row r="7" spans="1:10" x14ac:dyDescent="0.35">
      <c r="A7" s="7" t="s">
        <v>12</v>
      </c>
      <c r="B7" s="1">
        <v>5000</v>
      </c>
      <c r="C7" s="1"/>
      <c r="D7" s="2">
        <v>46258</v>
      </c>
      <c r="E7" s="1"/>
      <c r="F7" s="3">
        <f>B7-((B7/30)*6)</f>
        <v>4000</v>
      </c>
      <c r="G7" s="1"/>
      <c r="H7" s="1"/>
      <c r="I7" s="1">
        <f t="shared" si="0"/>
        <v>4000</v>
      </c>
      <c r="J7" s="8" t="s">
        <v>19</v>
      </c>
    </row>
    <row r="8" spans="1:10" x14ac:dyDescent="0.35">
      <c r="A8" s="7" t="s">
        <v>13</v>
      </c>
      <c r="B8" s="1">
        <v>4000</v>
      </c>
      <c r="C8" s="1"/>
      <c r="D8" s="1"/>
      <c r="E8" s="1"/>
      <c r="F8" s="1">
        <v>4000</v>
      </c>
      <c r="G8" s="1">
        <v>1050</v>
      </c>
      <c r="H8" s="1"/>
      <c r="I8" s="1">
        <f t="shared" si="0"/>
        <v>2950</v>
      </c>
      <c r="J8" s="8" t="s">
        <v>19</v>
      </c>
    </row>
    <row r="9" spans="1:10" x14ac:dyDescent="0.35">
      <c r="A9" s="7" t="s">
        <v>14</v>
      </c>
      <c r="B9" s="1">
        <v>4500</v>
      </c>
      <c r="C9" s="2">
        <v>46258</v>
      </c>
      <c r="D9" s="1"/>
      <c r="E9" s="1"/>
      <c r="F9" s="1">
        <v>1200</v>
      </c>
      <c r="G9" s="1">
        <v>600</v>
      </c>
      <c r="H9" s="1"/>
      <c r="I9" s="1">
        <f t="shared" si="0"/>
        <v>600</v>
      </c>
      <c r="J9" s="8" t="s">
        <v>19</v>
      </c>
    </row>
    <row r="10" spans="1:10" x14ac:dyDescent="0.35">
      <c r="A10" s="7" t="s">
        <v>20</v>
      </c>
      <c r="B10" s="1">
        <v>5000</v>
      </c>
      <c r="C10" s="2"/>
      <c r="D10" s="2">
        <v>46242</v>
      </c>
      <c r="E10" s="1"/>
      <c r="F10" s="1">
        <f>(B10/30)*8</f>
        <v>1333.3333333333333</v>
      </c>
      <c r="G10" s="1"/>
      <c r="H10" s="1"/>
      <c r="I10" s="1">
        <f t="shared" si="0"/>
        <v>1333.3333333333333</v>
      </c>
      <c r="J10" s="8" t="s">
        <v>19</v>
      </c>
    </row>
    <row r="11" spans="1:10" x14ac:dyDescent="0.35">
      <c r="A11" s="7" t="s">
        <v>17</v>
      </c>
      <c r="B11" s="1"/>
      <c r="C11" s="1"/>
      <c r="D11" s="1"/>
      <c r="E11" s="1"/>
      <c r="F11" s="1">
        <f>SUM(F3:F10)</f>
        <v>32200</v>
      </c>
      <c r="G11" s="1">
        <f>SUM(G3:G9)</f>
        <v>5450</v>
      </c>
      <c r="H11" s="1"/>
      <c r="I11" s="1">
        <f>SUM(I3:I10)</f>
        <v>26749.999999999996</v>
      </c>
      <c r="J11" s="8"/>
    </row>
    <row r="12" spans="1:10" x14ac:dyDescent="0.35">
      <c r="A12" s="7"/>
      <c r="B12" s="1"/>
      <c r="C12" s="1"/>
      <c r="D12" s="1"/>
      <c r="E12" s="1"/>
      <c r="F12" s="1"/>
      <c r="G12" s="1"/>
      <c r="H12" s="1"/>
      <c r="I12" s="1"/>
      <c r="J12" s="8"/>
    </row>
    <row r="13" spans="1:10" x14ac:dyDescent="0.35">
      <c r="A13" s="7"/>
      <c r="B13" s="1"/>
      <c r="C13" s="1"/>
      <c r="D13" s="1"/>
      <c r="E13" s="1"/>
      <c r="F13" s="1"/>
      <c r="G13" s="1"/>
      <c r="H13" s="1"/>
      <c r="I13" s="1"/>
      <c r="J13" s="8"/>
    </row>
    <row r="14" spans="1:10" ht="15" thickBot="1" x14ac:dyDescent="0.4">
      <c r="A14" s="9"/>
      <c r="B14" s="10"/>
      <c r="C14" s="10"/>
      <c r="D14" s="10"/>
      <c r="E14" s="10"/>
      <c r="F14" s="10"/>
      <c r="G14" s="10"/>
      <c r="H14" s="10"/>
      <c r="I14" s="10"/>
      <c r="J14" s="11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Elmangalify</dc:creator>
  <cp:lastModifiedBy>Kamel Elmangalify</cp:lastModifiedBy>
  <dcterms:created xsi:type="dcterms:W3CDTF">2015-06-05T18:17:20Z</dcterms:created>
  <dcterms:modified xsi:type="dcterms:W3CDTF">2026-09-06T13:23:21Z</dcterms:modified>
</cp:coreProperties>
</file>