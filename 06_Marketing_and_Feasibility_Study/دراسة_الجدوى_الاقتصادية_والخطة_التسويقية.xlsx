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قارنة المالية والوفورات" state="visible" r:id="rId4"/>
    <sheet sheetId="2" name="مقارنة منصات التسويق" state="visible" r:id="rId5"/>
  </sheets>
  <calcPr calcId="171027"/>
</workbook>
</file>

<file path=xl/sharedStrings.xml><?xml version="1.0" encoding="utf-8"?>
<sst xmlns="http://schemas.openxmlformats.org/spreadsheetml/2006/main" count="33" uniqueCount="33">
  <si>
    <t>📊 دراسة الجدوى الاقتصادية والمقارنة المالية — فندق هينو الأهرامات (الحجز المباشر vs عمولات OTAs)</t>
  </si>
  <si>
    <t>نسبة الإشغال</t>
  </si>
  <si>
    <t>الليالي المشغولة / شهر</t>
  </si>
  <si>
    <t>إجمالي الإيرادات (ADR = 2,500 جـ)</t>
  </si>
  <si>
    <t>تكلفة عمولة OTAs التقليدية (35%)</t>
  </si>
  <si>
    <t>تكلفة الحملة المباشرة (جوجل ماب 15 ألف + الموقع)</t>
  </si>
  <si>
    <t>عمولة المنصات الثانوية Agoda/Airbnb (15% على 30%)</t>
  </si>
  <si>
    <t>إجمالي تكلفة القناة الجديدة</t>
  </si>
  <si>
    <t>صافي الوفر الشهري لصالح الفندق</t>
  </si>
  <si>
    <t>إشغال منخفض (50%)</t>
  </si>
  <si>
    <t>إشغال متوسط (70%)</t>
  </si>
  <si>
    <t>إشغال مرتفع (85%)</t>
  </si>
  <si>
    <t>🔍 مقارنة الجدوى التسويقية والتحويل (Google Maps vs Meta Facebook/Instagram)</t>
  </si>
  <si>
    <t>معيار المقارنة</t>
  </si>
  <si>
    <t>جوجل ماب وإعلانات جوجل (Google Maps Ads)</t>
  </si>
  <si>
    <t>فيسبوك وإنستجرام (Meta Platforms)</t>
  </si>
  <si>
    <t>النتيجة والتوصية الاستراتيجية</t>
  </si>
  <si>
    <t>نية العميل (User Intent)</t>
  </si>
  <si>
    <t>عالية جداً (Active Search) — يبحث عن سكن فوراً في منطقة الأهرامات</t>
  </si>
  <si>
    <t>منخفضة (Passive Browsing) — يتصفح للتسلية ومحاكاة الصور</t>
  </si>
  <si>
    <t>جوجل يتفوق بنسبة تحويل أعلى 10 أضعاف 🟢</t>
  </si>
  <si>
    <t>تكلفة إنتاج المحتوى</t>
  </si>
  <si>
    <t>منخفضة — صور الفندق الواقعية والموقع والتقييمات تكفي</t>
  </si>
  <si>
    <t>مرتفعة جداً — تحتاج مصورين محترفين، فيديو ريلز، ومحتوى أسبوعي</t>
  </si>
  <si>
    <t>جوجل يوفر مصاريف الإنتاج الباهظة 🟢</t>
  </si>
  <si>
    <t>نسبة تحويل الحجز (CVR)</t>
  </si>
  <si>
    <t>عالية جداً (8% - 15%) — النقرة تنتهي بحجز مباشر على الموقع</t>
  </si>
  <si>
    <t>ضعيفة جداً (&lt; 0.5%) — استفسارات كثيرة ("بكام الليلة؟") بدون حجز</t>
  </si>
  <si>
    <t>جوجل يحقق عائداً حقيقياً على الاستثمار 🟢</t>
  </si>
  <si>
    <t>تكلفة الاستحواذ على النزيل (CAC)</t>
  </si>
  <si>
    <t>منخفضة ومباشرة — دفع مقابل النقرة المستهدفة جغرافياً</t>
  </si>
  <si>
    <t>مرتفعة بسبب ضياع الإعلانات على غير المسافرين</t>
  </si>
  <si>
    <t>إعلانات جوجل ماب أعلى كفاءة اقتصادية 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</si>
</sst>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9.5"/>
      <name val="Arial"/>
    </font>
    <font>
      <sz val="9.5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7706"/>
      </patternFill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22" customWidth="1"/>
    <col min="3" max="4" width="28" customWidth="1"/>
    <col min="5" max="5" width="30" customWidth="1"/>
    <col min="6" max="6" width="32" customWidth="1"/>
    <col min="7" max="7" width="24" customWidth="1"/>
    <col min="8" max="8" width="28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6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24" customHeight="1" spans="1:8" x14ac:dyDescent="0.25">
      <c r="A4" s="3" t="s">
        <v>9</v>
      </c>
      <c r="B4" s="4">
        <v>375</v>
      </c>
      <c r="C4" s="4">
        <v>937500</v>
      </c>
      <c r="D4" s="4">
        <f>C4*0.35</f>
        <v>328125</v>
      </c>
      <c r="E4" s="4">
        <v>17083</v>
      </c>
      <c r="F4" s="4">
        <f>C4*0.30*0.15</f>
        <v>42187.5</v>
      </c>
      <c r="G4" s="4">
        <f>E4+F4</f>
        <v>59270.5</v>
      </c>
      <c r="H4" s="4">
        <f>D4-G4</f>
        <v>268854.5</v>
      </c>
    </row>
    <row r="5" ht="24" customHeight="1" spans="1:8" x14ac:dyDescent="0.25">
      <c r="A5" s="3" t="s">
        <v>10</v>
      </c>
      <c r="B5" s="4">
        <v>525</v>
      </c>
      <c r="C5" s="4">
        <v>1312500</v>
      </c>
      <c r="D5" s="4">
        <f>C5*0.35</f>
        <v>459375</v>
      </c>
      <c r="E5" s="4">
        <v>17083</v>
      </c>
      <c r="F5" s="4">
        <f>C5*0.30*0.15</f>
        <v>59062.5</v>
      </c>
      <c r="G5" s="4">
        <f>E5+F5</f>
        <v>76145.5</v>
      </c>
      <c r="H5" s="4">
        <f>D5-G5</f>
        <v>383229.5</v>
      </c>
    </row>
    <row r="6" ht="24" customHeight="1" spans="1:8" x14ac:dyDescent="0.25">
      <c r="A6" s="3" t="s">
        <v>11</v>
      </c>
      <c r="B6" s="4">
        <v>637.5</v>
      </c>
      <c r="C6" s="4">
        <v>1593750</v>
      </c>
      <c r="D6" s="4">
        <f>C6*0.35</f>
        <v>557812.5</v>
      </c>
      <c r="E6" s="4">
        <v>17083</v>
      </c>
      <c r="F6" s="4">
        <f>C6*0.30*0.15</f>
        <v>71718.75</v>
      </c>
      <c r="G6" s="4">
        <f>E6+F6</f>
        <v>88801.75</v>
      </c>
      <c r="H6" s="4">
        <f>D6-G6</f>
        <v>469010.75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rightToLeft="1"/>
  </sheetViews>
  <sheetFormatPr defaultRowHeight="15" outlineLevelRow="0" outlineLevelCol="0" x14ac:dyDescent="55"/>
  <cols>
    <col min="1" max="1" width="22" customWidth="1"/>
    <col min="2" max="3" width="38" customWidth="1"/>
    <col min="4" max="4" width="30" customWidth="1"/>
  </cols>
  <sheetData>
    <row r="1" ht="32" customHeight="1" spans="1:6" x14ac:dyDescent="0.25">
      <c r="A1" s="1" t="s">
        <v>12</v>
      </c>
      <c r="B1" s="1"/>
      <c r="C1" s="1"/>
      <c r="D1" s="1"/>
      <c r="E1" s="1"/>
      <c r="F1" s="1"/>
    </row>
    <row r="3" ht="26" customHeight="1" spans="1:4" x14ac:dyDescent="0.25">
      <c r="A3" s="5" t="s">
        <v>13</v>
      </c>
      <c r="B3" s="5" t="s">
        <v>14</v>
      </c>
      <c r="C3" s="5" t="s">
        <v>15</v>
      </c>
      <c r="D3" s="5" t="s">
        <v>16</v>
      </c>
    </row>
    <row r="4" ht="26" customHeight="1" spans="1:4" x14ac:dyDescent="0.25">
      <c r="A4" s="6" t="s">
        <v>17</v>
      </c>
      <c r="B4" s="7" t="s">
        <v>18</v>
      </c>
      <c r="C4" s="7" t="s">
        <v>19</v>
      </c>
      <c r="D4" s="6" t="s">
        <v>20</v>
      </c>
    </row>
    <row r="5" ht="26" customHeight="1" spans="1:4" x14ac:dyDescent="0.25">
      <c r="A5" s="6" t="s">
        <v>21</v>
      </c>
      <c r="B5" s="7" t="s">
        <v>22</v>
      </c>
      <c r="C5" s="7" t="s">
        <v>23</v>
      </c>
      <c r="D5" s="6" t="s">
        <v>24</v>
      </c>
    </row>
    <row r="6" ht="26" customHeight="1" spans="1:4" x14ac:dyDescent="0.25">
      <c r="A6" s="6" t="s">
        <v>25</v>
      </c>
      <c r="B6" s="7" t="s">
        <v>26</v>
      </c>
      <c r="C6" s="7" t="s">
        <v>27</v>
      </c>
      <c r="D6" s="6" t="s">
        <v>28</v>
      </c>
    </row>
    <row r="7" ht="26" customHeight="1" spans="1:4" x14ac:dyDescent="0.25">
      <c r="A7" s="6" t="s">
        <v>29</v>
      </c>
      <c r="B7" s="7" t="s">
        <v>30</v>
      </c>
      <c r="C7" s="7" t="s">
        <v>31</v>
      </c>
      <c r="D7" s="6" t="s">
        <v>32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المقارنة المالية والوفورات</vt:lpstr>
      <vt:lpstr>مقارنة منصات التسويق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 Hotel Strategy</dc:creator>
  <dc:title/>
  <dc:subject/>
  <dc:description/>
  <cp:keywords/>
  <cp:category/>
  <cp:lastModifiedBy>Unknown</cp:lastModifiedBy>
  <dcterms:created xsi:type="dcterms:W3CDTF">2026-08-24T09:33:34Z</dcterms:created>
  <dcterms:modified xsi:type="dcterms:W3CDTF">2026-08-24T09:33:34Z</dcterms:modified>
</cp:coreProperties>
</file>