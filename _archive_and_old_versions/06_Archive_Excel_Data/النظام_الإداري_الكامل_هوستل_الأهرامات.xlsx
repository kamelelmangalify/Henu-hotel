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8_{F52EC043-E52C-47C9-A009-C77C357C9FE3}" xr6:coauthVersionLast="47" xr6:coauthVersionMax="47" xr10:uidLastSave="{00000000-0000-0000-0000-000000000000}"/>
  <bookViews>
    <workbookView xWindow="1740" yWindow="1740" windowWidth="14400" windowHeight="7270" firstSheet="8" activeTab="9" xr2:uid="{E987B3A3-FC81-4D55-8156-EBCE29E7C914}"/>
  </bookViews>
  <sheets>
    <sheet name="1-A سجل الصندوق" sheetId="1" r:id="rId1"/>
    <sheet name="1-B اذن الصرف" sheetId="2" r:id="rId2"/>
    <sheet name="1-C سند القبض" sheetId="3" r:id="rId3"/>
    <sheet name="1-D تسليم الوردية" sheetId="4" r:id="rId4"/>
    <sheet name="2-A نموذج الحجز" sheetId="5" r:id="rId5"/>
    <sheet name="2-B كرت التسكين" sheetId="6" r:id="rId6"/>
    <sheet name="2-C فاتورة النزيل" sheetId="7" r:id="rId7"/>
    <sheet name="3-A حالة الغرف" sheetId="8" r:id="rId8"/>
    <sheet name="3-B البياضات والمغسلة" sheetId="9" r:id="rId9"/>
    <sheet name="Dashboard KPI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9" l="1"/>
  <c r="G25" i="9"/>
  <c r="G24" i="9"/>
  <c r="G23" i="9"/>
  <c r="G22" i="9"/>
  <c r="G21" i="9"/>
  <c r="G20" i="9"/>
  <c r="G19" i="9"/>
  <c r="G18" i="9"/>
  <c r="G17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F24" i="7"/>
  <c r="F22" i="7"/>
  <c r="F21" i="7"/>
  <c r="F20" i="7"/>
  <c r="F19" i="7"/>
  <c r="F18" i="7"/>
  <c r="F17" i="7"/>
  <c r="F16" i="7"/>
  <c r="F15" i="7"/>
  <c r="F14" i="7"/>
  <c r="F13" i="7"/>
  <c r="F8" i="4"/>
  <c r="J35" i="1"/>
  <c r="H35" i="1"/>
  <c r="G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</calcChain>
</file>

<file path=xl/sharedStrings.xml><?xml version="1.0" encoding="utf-8"?>
<sst xmlns="http://schemas.openxmlformats.org/spreadsheetml/2006/main" count="377" uniqueCount="265">
  <si>
    <t>هوستل الأهرامات — سجل حركة صندوق المصروفات النثرية (Petty Cash Log)</t>
  </si>
  <si>
    <t>سقف الصندوق (ج):</t>
  </si>
  <si>
    <t>حد الانذار (ج):</t>
  </si>
  <si>
    <t>الشهر / السنة:</t>
  </si>
  <si>
    <t>رقم السجل</t>
  </si>
  <si>
    <t>التاريخ</t>
  </si>
  <si>
    <t>رصيد افتتاحي (ج)</t>
  </si>
  <si>
    <t>رقم اذن الصرف</t>
  </si>
  <si>
    <t>البيان</t>
  </si>
  <si>
    <t>الجهة المستلمة</t>
  </si>
  <si>
    <t>مصروف (ج)</t>
  </si>
  <si>
    <t>إيراد (ج)</t>
  </si>
  <si>
    <t>رقم الفاتورة</t>
  </si>
  <si>
    <t>رصيد متبقي (ج)</t>
  </si>
  <si>
    <t>تنبيه</t>
  </si>
  <si>
    <t>ملاحظات</t>
  </si>
  <si>
    <t>توقيع الصراف</t>
  </si>
  <si>
    <t>توقيع المراجع</t>
  </si>
  <si>
    <t>اجمالي الشهر</t>
  </si>
  <si>
    <t>هوستل الأهرامات</t>
  </si>
  <si>
    <t>إذن صرف نقدية — Cash Outflow Voucher</t>
  </si>
  <si>
    <t>رقم الإذن:</t>
  </si>
  <si>
    <t>COV-2026-</t>
  </si>
  <si>
    <t>التاريخ:</t>
  </si>
  <si>
    <t>اسم المستلم:</t>
  </si>
  <si>
    <t>الوظيفة:</t>
  </si>
  <si>
    <t>القسم / البند المحاسبي:</t>
  </si>
  <si>
    <t>رقم الفاتورة / المرفق:</t>
  </si>
  <si>
    <t>البيان التفصيلي:</t>
  </si>
  <si>
    <t>المبلغ بالأرقام (ج):</t>
  </si>
  <si>
    <t>المبلغ بالحروف:</t>
  </si>
  <si>
    <t>وسيلة الصرف:</t>
  </si>
  <si>
    <t>نقدا         تحويل بنكي</t>
  </si>
  <si>
    <t>ملاحظة:</t>
  </si>
  <si>
    <t>قسم التوقيعات</t>
  </si>
  <si>
    <t>المستلم</t>
  </si>
  <si>
    <t>الاسم + التوقيع</t>
  </si>
  <si>
    <t>امين الصندوق</t>
  </si>
  <si>
    <t>المحاسب</t>
  </si>
  <si>
    <t>المدير / المناوب</t>
  </si>
  <si>
    <t>الاسم + التوقيع + الختم</t>
  </si>
  <si>
    <t>هوستل الأهرامات — سند قبض نقدية (Cash Receipt Voucher)</t>
  </si>
  <si>
    <t>رقم السند:</t>
  </si>
  <si>
    <t>CRV-2026-</t>
  </si>
  <si>
    <t>التاريخ / الوقت:</t>
  </si>
  <si>
    <t>استلم من:</t>
  </si>
  <si>
    <t>رقم الغرفة / الحجز:</t>
  </si>
  <si>
    <t>البيان:</t>
  </si>
  <si>
    <t>وسيلة الدفع:</t>
  </si>
  <si>
    <t>نقدا  POS  تحويل  اونلاين</t>
  </si>
  <si>
    <t>رقم المرجع:</t>
  </si>
  <si>
    <t>المستلم (الصراف):</t>
  </si>
  <si>
    <t>الاسم:</t>
  </si>
  <si>
    <t>التوقيع:</t>
  </si>
  <si>
    <t>المحاسب / الاعتماد:</t>
  </si>
  <si>
    <t>هوستل الأهرامات — شيت تسليم واستلام الوردية (Shift Handover)</t>
  </si>
  <si>
    <t>تاريخ الوردية:</t>
  </si>
  <si>
    <t>نوع الوردية:</t>
  </si>
  <si>
    <t>صباحية (7ص-3م)     مسائية (3م-11م)     ليلية (11م-7ص)</t>
  </si>
  <si>
    <t>اسم المسلم:</t>
  </si>
  <si>
    <t>إيرادات الوردية</t>
  </si>
  <si>
    <t>بيان الإيراد</t>
  </si>
  <si>
    <t>نقدا (ج)</t>
  </si>
  <si>
    <t>POS شبكة (ج)</t>
  </si>
  <si>
    <t>تحويل بنكي (ج)</t>
  </si>
  <si>
    <t>اونلاين OTA (ج)</t>
  </si>
  <si>
    <t>الإجمالي (ج)</t>
  </si>
  <si>
    <t>ملاحظة</t>
  </si>
  <si>
    <t>إيرادات الإقامة</t>
  </si>
  <si>
    <t>خدمات إضافية</t>
  </si>
  <si>
    <t>إجمالي الوردية</t>
  </si>
  <si>
    <t>مطابقة عهدة الدرج (Cash Drawer Reconciliation)</t>
  </si>
  <si>
    <t>المبلغ (ج)</t>
  </si>
  <si>
    <t>رصيد الدرج الافتتاحي</t>
  </si>
  <si>
    <t>إضافة: مقبوضات نقدية</t>
  </si>
  <si>
    <t>خصم: مدفوعات نقدية</t>
  </si>
  <si>
    <t>الرصيد الدفتري</t>
  </si>
  <si>
    <t>العد الفعلي للدرج</t>
  </si>
  <si>
    <t>الفارق (+/-)</t>
  </si>
  <si>
    <t>تقرير الإشغال</t>
  </si>
  <si>
    <t>العدد</t>
  </si>
  <si>
    <t>غرف مشغولة</t>
  </si>
  <si>
    <t>غرف خالية</t>
  </si>
  <si>
    <t>خارج الخدمة (OOO)</t>
  </si>
  <si>
    <t>حجوزات الغد</t>
  </si>
  <si>
    <t>ملاحظات تشغيلية:</t>
  </si>
  <si>
    <t>اعتماد المدير المناوب:</t>
  </si>
  <si>
    <t>الوقت:</t>
  </si>
  <si>
    <t>هوستل الأهرامات — نموذج الحجز والتأكيد (Reservation Voucher)</t>
  </si>
  <si>
    <t>بيانات الحجز</t>
  </si>
  <si>
    <t>بيانات النزيل</t>
  </si>
  <si>
    <t>بيانات الإقامة</t>
  </si>
  <si>
    <t>التسعير والضرائب</t>
  </si>
  <si>
    <t>التعربون وشروط الإلغاء</t>
  </si>
  <si>
    <t>التوقيعات</t>
  </si>
  <si>
    <t>المحجوز / النزيل</t>
  </si>
  <si>
    <t>موظف الاستقبال</t>
  </si>
  <si>
    <t>ختم الفندق</t>
  </si>
  <si>
    <t>هوستل الأهرامات — كرت تسكين النزيل (Guest Registration Card)</t>
  </si>
  <si>
    <t>بيانات الهوية</t>
  </si>
  <si>
    <t>معلومات التواصل</t>
  </si>
  <si>
    <t>بيانات السفر</t>
  </si>
  <si>
    <t>وسيلة الدفع</t>
  </si>
  <si>
    <t>إقرار: أقر بصحة البيانات وأوافق على لوائح الفندق</t>
  </si>
  <si>
    <t>توقيع النزيل:</t>
  </si>
  <si>
    <t>موظف الاستقبال:</t>
  </si>
  <si>
    <t>هوستل الأهرامات — فاتورة النزيل النهائية (Guest Folio)</t>
  </si>
  <si>
    <t>الفندق:</t>
  </si>
  <si>
    <t>هوستل الأهرامات — منطقة الأهرامات، الجيزة</t>
  </si>
  <si>
    <t>رقم الفاتورة:</t>
  </si>
  <si>
    <t>INV-2026-</t>
  </si>
  <si>
    <t>تاريخ الفاتورة:</t>
  </si>
  <si>
    <t>اسم النزيل:</t>
  </si>
  <si>
    <t>رقم الغرفة:</t>
  </si>
  <si>
    <t>رقم الحجز:</t>
  </si>
  <si>
    <t>عدد الليالي:</t>
  </si>
  <si>
    <t>تاريخ الوصول:</t>
  </si>
  <si>
    <t>تاريخ المغادرة:</t>
  </si>
  <si>
    <t>تفاصيل الفاتورة</t>
  </si>
  <si>
    <t>الكمية</t>
  </si>
  <si>
    <t>سعر الوحدة (ج)</t>
  </si>
  <si>
    <t>خصم (ج)</t>
  </si>
  <si>
    <t>إجمالي (ج)</t>
  </si>
  <si>
    <t>إقامة — غرفة رقم</t>
  </si>
  <si>
    <t>وجبة إفطار</t>
  </si>
  <si>
    <t>غسيل ملابس</t>
  </si>
  <si>
    <t>مشروبات</t>
  </si>
  <si>
    <t>خدمة اخرى</t>
  </si>
  <si>
    <t>الإجمالي قبل الضرائب (ج):</t>
  </si>
  <si>
    <t>ضريبة المبيعات 14% (ج):</t>
  </si>
  <si>
    <t>رسوم الخدمة 8% (ج):</t>
  </si>
  <si>
    <t>الإجمالي النهائي شامل الضرائب (ج):</t>
  </si>
  <si>
    <t>التعربون / السداد المسبق (ج):</t>
  </si>
  <si>
    <t>الرصيد المستحق (ج):</t>
  </si>
  <si>
    <t>وسيلة السداد:</t>
  </si>
  <si>
    <t>نقدا  شبكة  تحويل</t>
  </si>
  <si>
    <t>توقيع موظف الاستقبال:</t>
  </si>
  <si>
    <t>هوستل الأهرامات — بيان حالة الغرف اليومي (Housekeeping Report)</t>
  </si>
  <si>
    <t>الوردية:</t>
  </si>
  <si>
    <t>صباحية     مسائية</t>
  </si>
  <si>
    <t>مشرف الغرف:</t>
  </si>
  <si>
    <t>رقم الغرفة</t>
  </si>
  <si>
    <t>نوع الغرفة</t>
  </si>
  <si>
    <t>الطابق</t>
  </si>
  <si>
    <t>حالة النظافة</t>
  </si>
  <si>
    <t>حالة الإشغال</t>
  </si>
  <si>
    <t>اسم النزيل</t>
  </si>
  <si>
    <t>موعد الخروج</t>
  </si>
  <si>
    <t>فردية</t>
  </si>
  <si>
    <t>C / U / D</t>
  </si>
  <si>
    <t>OCC / VAC / CO / OOO</t>
  </si>
  <si>
    <t>مزدوجة</t>
  </si>
  <si>
    <t>ثلاثية</t>
  </si>
  <si>
    <t>مشتركة</t>
  </si>
  <si>
    <t>ملخص حالة الغرف</t>
  </si>
  <si>
    <t>الحالة</t>
  </si>
  <si>
    <t>الرمز</t>
  </si>
  <si>
    <t>النسبة %</t>
  </si>
  <si>
    <t>نظيفة وجاهزة</t>
  </si>
  <si>
    <t>C</t>
  </si>
  <si>
    <t>قيد التنظيف</t>
  </si>
  <si>
    <t>U</t>
  </si>
  <si>
    <t>قذرة</t>
  </si>
  <si>
    <t>D</t>
  </si>
  <si>
    <t>مشغولة</t>
  </si>
  <si>
    <t>OCC</t>
  </si>
  <si>
    <t>خالية</t>
  </si>
  <si>
    <t>VAC</t>
  </si>
  <si>
    <t>خروج اليوم</t>
  </si>
  <si>
    <t>CO</t>
  </si>
  <si>
    <t>خارج الخدمة</t>
  </si>
  <si>
    <t>OOO</t>
  </si>
  <si>
    <t>نسبة الإشغال %</t>
  </si>
  <si>
    <t>OCC%</t>
  </si>
  <si>
    <t>هوستل الأهرامات — كشف جرد وحركة البياضات والمغسلة (Linen &amp; Laundry Log)</t>
  </si>
  <si>
    <t>جرد البياضات (الأصناف)</t>
  </si>
  <si>
    <t>الصنف</t>
  </si>
  <si>
    <t>وحدة القياس</t>
  </si>
  <si>
    <t>رصيد افتتاحي</t>
  </si>
  <si>
    <t>وارد (غسيل)</t>
  </si>
  <si>
    <t>صادر (للغرف)</t>
  </si>
  <si>
    <t>تالف/مفقود</t>
  </si>
  <si>
    <t>رصيد ختامي</t>
  </si>
  <si>
    <t>شراشف فردية</t>
  </si>
  <si>
    <t>قطعة</t>
  </si>
  <si>
    <t>شراشف مزدوجة</t>
  </si>
  <si>
    <t>غطاء وسادة</t>
  </si>
  <si>
    <t>مناشف حمام كبيرة</t>
  </si>
  <si>
    <t>مناشف حمام صغيرة</t>
  </si>
  <si>
    <t>مفارش حمام</t>
  </si>
  <si>
    <t>غطاء لحاف</t>
  </si>
  <si>
    <t>بطاطين</t>
  </si>
  <si>
    <t>مفارش مطبخ</t>
  </si>
  <si>
    <t>حركة المغسلة اليومية</t>
  </si>
  <si>
    <t>رقم الرحلة</t>
  </si>
  <si>
    <t>اسم المغسلة</t>
  </si>
  <si>
    <t>كمية مرسلة</t>
  </si>
  <si>
    <t>تاريخ الاستلام</t>
  </si>
  <si>
    <t>كمية مستلمة</t>
  </si>
  <si>
    <t>الفرق</t>
  </si>
  <si>
    <t>التكلفة (ج)</t>
  </si>
  <si>
    <t>L-001</t>
  </si>
  <si>
    <t>L-002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</si>
  <si>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</si>
  <si>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</si>
  <si>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</si>
  <si>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</si>
  <si>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</si>
  <si>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</si>
  <si>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</si>
  <si>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</si>
  <si>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تقرير التوالف الشهري</t>
  </si>
  <si>
    <t>الكمية التالفة</t>
  </si>
  <si>
    <t>سبب التلف</t>
  </si>
  <si>
    <t>مسؤولية التلف</t>
  </si>
  <si>
    <t>قيمة الخصم (ج)</t>
  </si>
  <si>
    <t>اعتماد المدير</t>
  </si>
  <si>
    <t>استهلاك عادي / إهمال / نزيل</t>
  </si>
  <si>
    <t>هوستل الأهرامات — لوحة مؤشرات الأداء (KPI Dashboard)</t>
  </si>
  <si>
    <t>عدد الغرف:</t>
  </si>
  <si>
    <t>المؤشر</t>
  </si>
  <si>
    <t>المعادلة / المصدر</t>
  </si>
  <si>
    <t>القيمة الفعلية</t>
  </si>
  <si>
    <t>الهدف المقترح</t>
  </si>
  <si>
    <t>التقييم</t>
  </si>
  <si>
    <t>نسبة الإشغال</t>
  </si>
  <si>
    <t>غرف مشغولة / متاحة × 100</t>
  </si>
  <si>
    <t>&gt; 70%</t>
  </si>
  <si>
    <t>متوسط إيراد الغرفة</t>
  </si>
  <si>
    <t>ADR</t>
  </si>
  <si>
    <t>إجمالي الإيراد / غرف مباعة</t>
  </si>
  <si>
    <t>&gt; 450 ج</t>
  </si>
  <si>
    <t>إيراد الغرفة المتاحة</t>
  </si>
  <si>
    <t>RevPAR</t>
  </si>
  <si>
    <t>ADR × OCC%</t>
  </si>
  <si>
    <t>&gt; 315 ج</t>
  </si>
  <si>
    <t>متوسط مدة الإقامة</t>
  </si>
  <si>
    <t>ALOS</t>
  </si>
  <si>
    <t>إجمالي الليالي / عدد النزلاء</t>
  </si>
  <si>
    <t>&gt; 2.5 ليلة</t>
  </si>
  <si>
    <t>نسبة فقد الصندوق</t>
  </si>
  <si>
    <t>Cash Var%</t>
  </si>
  <si>
    <t>عجز / إجمالي مقبوضات × 100</t>
  </si>
  <si>
    <t>&lt; 0.1%</t>
  </si>
  <si>
    <t>نسبة فقدان البياضات</t>
  </si>
  <si>
    <t>Linen Loss</t>
  </si>
  <si>
    <t>مفقود / إجمالي × 100</t>
  </si>
  <si>
    <t>&lt; 2%</t>
  </si>
  <si>
    <t>وقت تجهيز الغرفة</t>
  </si>
  <si>
    <t>Turnover</t>
  </si>
  <si>
    <t>من CO الى C (دقيقة)</t>
  </si>
  <si>
    <t>&lt; 45 دقيقة</t>
  </si>
  <si>
    <t>رضا النزلاء</t>
  </si>
  <si>
    <t>GSS</t>
  </si>
  <si>
    <t>متوسط التقييمات الالكترونية</t>
  </si>
  <si>
    <t>&gt;= 4.2 / 5</t>
  </si>
  <si>
    <t>معدل الإلغاء</t>
  </si>
  <si>
    <t>Cancel%</t>
  </si>
  <si>
    <t>ملغاة / إجمالي حجوزات × 100</t>
  </si>
  <si>
    <t>&lt; 15%</t>
  </si>
  <si>
    <t>إيراد الخدمات الإضافية</t>
  </si>
  <si>
    <t>Ancillary</t>
  </si>
  <si>
    <t>إجمالي إيرادات غير الإقامة</t>
  </si>
  <si>
    <t>الإجمالي الشهري للإيرادات (ج)</t>
  </si>
  <si>
    <t>إجمالي الفواتير الصادرة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</si>
</sst>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i/>
      <sz val="11"/>
      <color theme="1"/>
      <name val="Arial"/>
      <family val="2"/>
    </font>
    <font>
      <sz val="11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1F5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C65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5" fillId="2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4" borderId="1" xfId="0" applyFont="1" applyFill="1" applyBorder="1"/>
    <xf numFmtId="0" fontId="6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7" borderId="0" xfId="0" applyFont="1" applyFill="1"/>
    <xf numFmtId="0" fontId="3" fillId="0" borderId="0" xfId="0" applyFont="1"/>
    <xf numFmtId="0" fontId="5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/>
    <xf numFmtId="0" fontId="2" fillId="10" borderId="0" xfId="0" applyFont="1" applyFill="1" applyAlignment="1">
      <alignment horizontal="center" vertical="center"/>
    </xf>
    <xf numFmtId="0" fontId="4" fillId="11" borderId="0" xfId="0" applyFont="1" applyFill="1"/>
    <xf numFmtId="0" fontId="5" fillId="10" borderId="0" xfId="0" applyFont="1" applyFill="1" applyAlignment="1">
      <alignment horizontal="center" vertical="center"/>
    </xf>
    <xf numFmtId="0" fontId="4" fillId="11" borderId="1" xfId="0" applyFont="1" applyFill="1" applyBorder="1"/>
    <xf numFmtId="0" fontId="4" fillId="3" borderId="1" xfId="0" applyFont="1" applyFill="1" applyBorder="1"/>
    <xf numFmtId="0" fontId="4" fillId="4" borderId="0" xfId="0" applyFont="1" applyFill="1"/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4" fillId="3" borderId="0" xfId="0" applyFont="1" applyFill="1"/>
    <xf numFmtId="0" fontId="2" fillId="6" borderId="0" xfId="0" applyFont="1" applyFill="1" applyAlignment="1">
      <alignment horizontal="center" vertical="center"/>
    </xf>
    <xf numFmtId="0" fontId="8" fillId="7" borderId="0" xfId="0" applyFont="1" applyFill="1"/>
    <xf numFmtId="0" fontId="4" fillId="7" borderId="1" xfId="0" applyFont="1" applyFill="1" applyBorder="1"/>
    <xf numFmtId="0" fontId="5" fillId="8" borderId="1" xfId="0" applyFont="1" applyFill="1" applyBorder="1"/>
    <xf numFmtId="0" fontId="3" fillId="9" borderId="1" xfId="0" applyFont="1" applyFill="1" applyBorder="1"/>
    <xf numFmtId="0" fontId="3" fillId="13" borderId="1" xfId="0" applyFont="1" applyFill="1" applyBorder="1"/>
    <xf numFmtId="0" fontId="4" fillId="13" borderId="1" xfId="0" applyFont="1" applyFill="1" applyBorder="1"/>
    <xf numFmtId="0" fontId="4" fillId="9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3" fillId="7" borderId="1" xfId="0" applyFont="1" applyFill="1" applyBorder="1"/>
    <xf numFmtId="0" fontId="9" fillId="0" borderId="0" xfId="0" applyFont="1"/>
    <xf numFmtId="0" fontId="5" fillId="10" borderId="1" xfId="0" applyFont="1" applyFill="1" applyBorder="1"/>
    <xf numFmtId="0" fontId="3" fillId="11" borderId="1" xfId="0" applyFont="1" applyFill="1" applyBorder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1E37-ADE5-4D2A-8D79-DFE85F7211E7}">
  <sheetPr>
    <tabColor rgb="FF1F497D"/>
  </sheetPr>
  <dimension ref="A1:N35"/>
  <sheetViews>
    <sheetView rightToLeft="1" workbookViewId="0"/>
  </sheetViews>
  <sheetFormatPr defaultRowHeight="14.5" x14ac:dyDescent="0.35"/>
  <cols>
    <col min="1" max="1" width="8.6328125" customWidth="1"/>
    <col min="2" max="2" width="12.6328125" customWidth="1"/>
    <col min="3" max="3" width="14.6328125" customWidth="1"/>
    <col min="4" max="4" width="16.6328125" customWidth="1"/>
    <col min="5" max="5" width="22.6328125" customWidth="1"/>
    <col min="6" max="6" width="18.6328125" customWidth="1"/>
    <col min="7" max="10" width="14.6328125" customWidth="1"/>
    <col min="11" max="12" width="18.6328125" customWidth="1"/>
    <col min="13" max="14" width="16.6328125" customWidth="1"/>
  </cols>
  <sheetData>
    <row r="1" spans="1:14" ht="38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6" customHeight="1" x14ac:dyDescent="0.35">
      <c r="A2" s="4" t="s">
        <v>1</v>
      </c>
      <c r="B2" s="5">
        <v>1500</v>
      </c>
      <c r="C2" s="4" t="s">
        <v>2</v>
      </c>
      <c r="D2" s="6">
        <v>200</v>
      </c>
      <c r="E2" s="4" t="s">
        <v>3</v>
      </c>
      <c r="F2" s="4"/>
      <c r="G2" s="4"/>
      <c r="H2" s="4"/>
      <c r="I2" s="4"/>
      <c r="J2" s="4"/>
      <c r="K2" s="4"/>
      <c r="L2" s="4"/>
      <c r="M2" s="4"/>
      <c r="N2" s="4"/>
    </row>
    <row r="3" spans="1:14" s="1" customFormat="1" ht="30" customHeight="1" x14ac:dyDescent="0.35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</row>
    <row r="4" spans="1:14" ht="24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>
        <f>C4-G4+H4</f>
        <v>0</v>
      </c>
      <c r="K4" s="8" t="str">
        <f>IF(J4&lt;200,"تنبيه: اعد التعبئة","مقبول")</f>
        <v>تنبيه: اعد التعبئة</v>
      </c>
      <c r="L4" s="8"/>
      <c r="M4" s="8"/>
      <c r="N4" s="8"/>
    </row>
    <row r="5" spans="1:14" ht="24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>
        <f>J4-G5+H5</f>
        <v>0</v>
      </c>
      <c r="K5" s="9" t="str">
        <f>IF(J5&lt;200,"تنبيه: اعد التعبئة","مقبول")</f>
        <v>تنبيه: اعد التعبئة</v>
      </c>
      <c r="L5" s="9"/>
      <c r="M5" s="9"/>
      <c r="N5" s="9"/>
    </row>
    <row r="6" spans="1:14" ht="24" customHeight="1" x14ac:dyDescent="0.35">
      <c r="A6" s="8"/>
      <c r="B6" s="8"/>
      <c r="C6" s="8"/>
      <c r="D6" s="8"/>
      <c r="E6" s="8"/>
      <c r="F6" s="8"/>
      <c r="G6" s="8"/>
      <c r="H6" s="8"/>
      <c r="I6" s="8"/>
      <c r="J6" s="8">
        <f>J5-G6+H6</f>
        <v>0</v>
      </c>
      <c r="K6" s="8" t="str">
        <f>IF(J6&lt;200,"تنبيه: اعد التعبئة","مقبول")</f>
        <v>تنبيه: اعد التعبئة</v>
      </c>
      <c r="L6" s="8"/>
      <c r="M6" s="8"/>
      <c r="N6" s="8"/>
    </row>
    <row r="7" spans="1:14" ht="24" customHeight="1" x14ac:dyDescent="0.35">
      <c r="A7" s="9"/>
      <c r="B7" s="9"/>
      <c r="C7" s="9"/>
      <c r="D7" s="9"/>
      <c r="E7" s="9"/>
      <c r="F7" s="9"/>
      <c r="G7" s="9"/>
      <c r="H7" s="9"/>
      <c r="I7" s="9"/>
      <c r="J7" s="9">
        <f>J6-G7+H7</f>
        <v>0</v>
      </c>
      <c r="K7" s="9" t="str">
        <f>IF(J7&lt;200,"تنبيه: اعد التعبئة","مقبول")</f>
        <v>تنبيه: اعد التعبئة</v>
      </c>
      <c r="L7" s="9"/>
      <c r="M7" s="9"/>
      <c r="N7" s="9"/>
    </row>
    <row r="8" spans="1:14" ht="24" customHeight="1" x14ac:dyDescent="0.35">
      <c r="A8" s="8"/>
      <c r="B8" s="8"/>
      <c r="C8" s="8"/>
      <c r="D8" s="8"/>
      <c r="E8" s="8"/>
      <c r="F8" s="8"/>
      <c r="G8" s="8"/>
      <c r="H8" s="8"/>
      <c r="I8" s="8"/>
      <c r="J8" s="8">
        <f>J7-G8+H8</f>
        <v>0</v>
      </c>
      <c r="K8" s="8" t="str">
        <f>IF(J8&lt;200,"تنبيه: اعد التعبئة","مقبول")</f>
        <v>تنبيه: اعد التعبئة</v>
      </c>
      <c r="L8" s="8"/>
      <c r="M8" s="8"/>
      <c r="N8" s="8"/>
    </row>
    <row r="9" spans="1:14" ht="24" customHeight="1" x14ac:dyDescent="0.35">
      <c r="A9" s="9"/>
      <c r="B9" s="9"/>
      <c r="C9" s="9"/>
      <c r="D9" s="9"/>
      <c r="E9" s="9"/>
      <c r="F9" s="9"/>
      <c r="G9" s="9"/>
      <c r="H9" s="9"/>
      <c r="I9" s="9"/>
      <c r="J9" s="9">
        <f>J8-G9+H9</f>
        <v>0</v>
      </c>
      <c r="K9" s="9" t="str">
        <f>IF(J9&lt;200,"تنبيه: اعد التعبئة","مقبول")</f>
        <v>تنبيه: اعد التعبئة</v>
      </c>
      <c r="L9" s="9"/>
      <c r="M9" s="9"/>
      <c r="N9" s="9"/>
    </row>
    <row r="10" spans="1:14" ht="24" customHeight="1" x14ac:dyDescent="0.35">
      <c r="A10" s="8"/>
      <c r="B10" s="8"/>
      <c r="C10" s="8"/>
      <c r="D10" s="8"/>
      <c r="E10" s="8"/>
      <c r="F10" s="8"/>
      <c r="G10" s="8"/>
      <c r="H10" s="8"/>
      <c r="I10" s="8"/>
      <c r="J10" s="8">
        <f>J9-G10+H10</f>
        <v>0</v>
      </c>
      <c r="K10" s="8" t="str">
        <f>IF(J10&lt;200,"تنبيه: اعد التعبئة","مقبول")</f>
        <v>تنبيه: اعد التعبئة</v>
      </c>
      <c r="L10" s="8"/>
      <c r="M10" s="8"/>
      <c r="N10" s="8"/>
    </row>
    <row r="11" spans="1:14" ht="24" customHeight="1" x14ac:dyDescent="0.35">
      <c r="A11" s="9"/>
      <c r="B11" s="9"/>
      <c r="C11" s="9"/>
      <c r="D11" s="9"/>
      <c r="E11" s="9"/>
      <c r="F11" s="9"/>
      <c r="G11" s="9"/>
      <c r="H11" s="9"/>
      <c r="I11" s="9"/>
      <c r="J11" s="9">
        <f>J10-G11+H11</f>
        <v>0</v>
      </c>
      <c r="K11" s="9" t="str">
        <f>IF(J11&lt;200,"تنبيه: اعد التعبئة","مقبول")</f>
        <v>تنبيه: اعد التعبئة</v>
      </c>
      <c r="L11" s="9"/>
      <c r="M11" s="9"/>
      <c r="N11" s="9"/>
    </row>
    <row r="12" spans="1:14" ht="24" customHeight="1" x14ac:dyDescent="0.35">
      <c r="A12" s="8"/>
      <c r="B12" s="8"/>
      <c r="C12" s="8"/>
      <c r="D12" s="8"/>
      <c r="E12" s="8"/>
      <c r="F12" s="8"/>
      <c r="G12" s="8"/>
      <c r="H12" s="8"/>
      <c r="I12" s="8"/>
      <c r="J12" s="8">
        <f>J11-G12+H12</f>
        <v>0</v>
      </c>
      <c r="K12" s="8" t="str">
        <f>IF(J12&lt;200,"تنبيه: اعد التعبئة","مقبول")</f>
        <v>تنبيه: اعد التعبئة</v>
      </c>
      <c r="L12" s="8"/>
      <c r="M12" s="8"/>
      <c r="N12" s="8"/>
    </row>
    <row r="13" spans="1:14" ht="24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9">
        <f>J12-G13+H13</f>
        <v>0</v>
      </c>
      <c r="K13" s="9" t="str">
        <f>IF(J13&lt;200,"تنبيه: اعد التعبئة","مقبول")</f>
        <v>تنبيه: اعد التعبئة</v>
      </c>
      <c r="L13" s="9"/>
      <c r="M13" s="9"/>
      <c r="N13" s="9"/>
    </row>
    <row r="14" spans="1:14" ht="24" customHeight="1" x14ac:dyDescent="0.35">
      <c r="A14" s="8"/>
      <c r="B14" s="8"/>
      <c r="C14" s="8"/>
      <c r="D14" s="8"/>
      <c r="E14" s="8"/>
      <c r="F14" s="8"/>
      <c r="G14" s="8"/>
      <c r="H14" s="8"/>
      <c r="I14" s="8"/>
      <c r="J14" s="8">
        <f>J13-G14+H14</f>
        <v>0</v>
      </c>
      <c r="K14" s="8" t="str">
        <f>IF(J14&lt;200,"تنبيه: اعد التعبئة","مقبول")</f>
        <v>تنبيه: اعد التعبئة</v>
      </c>
      <c r="L14" s="8"/>
      <c r="M14" s="8"/>
      <c r="N14" s="8"/>
    </row>
    <row r="15" spans="1:14" ht="24" customHeight="1" x14ac:dyDescent="0.35">
      <c r="A15" s="9"/>
      <c r="B15" s="9"/>
      <c r="C15" s="9"/>
      <c r="D15" s="9"/>
      <c r="E15" s="9"/>
      <c r="F15" s="9"/>
      <c r="G15" s="9"/>
      <c r="H15" s="9"/>
      <c r="I15" s="9"/>
      <c r="J15" s="9">
        <f>J14-G15+H15</f>
        <v>0</v>
      </c>
      <c r="K15" s="9" t="str">
        <f>IF(J15&lt;200,"تنبيه: اعد التعبئة","مقبول")</f>
        <v>تنبيه: اعد التعبئة</v>
      </c>
      <c r="L15" s="9"/>
      <c r="M15" s="9"/>
      <c r="N15" s="9"/>
    </row>
    <row r="16" spans="1:14" ht="24" customHeight="1" x14ac:dyDescent="0.35">
      <c r="A16" s="8"/>
      <c r="B16" s="8"/>
      <c r="C16" s="8"/>
      <c r="D16" s="8"/>
      <c r="E16" s="8"/>
      <c r="F16" s="8"/>
      <c r="G16" s="8"/>
      <c r="H16" s="8"/>
      <c r="I16" s="8"/>
      <c r="J16" s="8">
        <f>J15-G16+H16</f>
        <v>0</v>
      </c>
      <c r="K16" s="8" t="str">
        <f>IF(J16&lt;200,"تنبيه: اعد التعبئة","مقبول")</f>
        <v>تنبيه: اعد التعبئة</v>
      </c>
      <c r="L16" s="8"/>
      <c r="M16" s="8"/>
      <c r="N16" s="8"/>
    </row>
    <row r="17" spans="1:14" ht="24" customHeight="1" x14ac:dyDescent="0.35">
      <c r="A17" s="9"/>
      <c r="B17" s="9"/>
      <c r="C17" s="9"/>
      <c r="D17" s="9"/>
      <c r="E17" s="9"/>
      <c r="F17" s="9"/>
      <c r="G17" s="9"/>
      <c r="H17" s="9"/>
      <c r="I17" s="9"/>
      <c r="J17" s="9">
        <f>J16-G17+H17</f>
        <v>0</v>
      </c>
      <c r="K17" s="9" t="str">
        <f>IF(J17&lt;200,"تنبيه: اعد التعبئة","مقبول")</f>
        <v>تنبيه: اعد التعبئة</v>
      </c>
      <c r="L17" s="9"/>
      <c r="M17" s="9"/>
      <c r="N17" s="9"/>
    </row>
    <row r="18" spans="1:14" ht="24" customHeight="1" x14ac:dyDescent="0.35">
      <c r="A18" s="8"/>
      <c r="B18" s="8"/>
      <c r="C18" s="8"/>
      <c r="D18" s="8"/>
      <c r="E18" s="8"/>
      <c r="F18" s="8"/>
      <c r="G18" s="8"/>
      <c r="H18" s="8"/>
      <c r="I18" s="8"/>
      <c r="J18" s="8">
        <f>J17-G18+H18</f>
        <v>0</v>
      </c>
      <c r="K18" s="8" t="str">
        <f>IF(J18&lt;200,"تنبيه: اعد التعبئة","مقبول")</f>
        <v>تنبيه: اعد التعبئة</v>
      </c>
      <c r="L18" s="8"/>
      <c r="M18" s="8"/>
      <c r="N18" s="8"/>
    </row>
    <row r="19" spans="1:14" ht="24" customHeight="1" x14ac:dyDescent="0.35">
      <c r="A19" s="9"/>
      <c r="B19" s="9"/>
      <c r="C19" s="9"/>
      <c r="D19" s="9"/>
      <c r="E19" s="9"/>
      <c r="F19" s="9"/>
      <c r="G19" s="9"/>
      <c r="H19" s="9"/>
      <c r="I19" s="9"/>
      <c r="J19" s="9">
        <f>J18-G19+H19</f>
        <v>0</v>
      </c>
      <c r="K19" s="9" t="str">
        <f>IF(J19&lt;200,"تنبيه: اعد التعبئة","مقبول")</f>
        <v>تنبيه: اعد التعبئة</v>
      </c>
      <c r="L19" s="9"/>
      <c r="M19" s="9"/>
      <c r="N19" s="9"/>
    </row>
    <row r="20" spans="1:14" ht="24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>
        <f>J19-G20+H20</f>
        <v>0</v>
      </c>
      <c r="K20" s="8" t="str">
        <f>IF(J20&lt;200,"تنبيه: اعد التعبئة","مقبول")</f>
        <v>تنبيه: اعد التعبئة</v>
      </c>
      <c r="L20" s="8"/>
      <c r="M20" s="8"/>
      <c r="N20" s="8"/>
    </row>
    <row r="21" spans="1:14" ht="24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9">
        <f>J20-G21+H21</f>
        <v>0</v>
      </c>
      <c r="K21" s="9" t="str">
        <f>IF(J21&lt;200,"تنبيه: اعد التعبئة","مقبول")</f>
        <v>تنبيه: اعد التعبئة</v>
      </c>
      <c r="L21" s="9"/>
      <c r="M21" s="9"/>
      <c r="N21" s="9"/>
    </row>
    <row r="22" spans="1:14" ht="24" customHeight="1" x14ac:dyDescent="0.35">
      <c r="A22" s="8"/>
      <c r="B22" s="8"/>
      <c r="C22" s="8"/>
      <c r="D22" s="8"/>
      <c r="E22" s="8"/>
      <c r="F22" s="8"/>
      <c r="G22" s="8"/>
      <c r="H22" s="8"/>
      <c r="I22" s="8"/>
      <c r="J22" s="8">
        <f>J21-G22+H22</f>
        <v>0</v>
      </c>
      <c r="K22" s="8" t="str">
        <f>IF(J22&lt;200,"تنبيه: اعد التعبئة","مقبول")</f>
        <v>تنبيه: اعد التعبئة</v>
      </c>
      <c r="L22" s="8"/>
      <c r="M22" s="8"/>
      <c r="N22" s="8"/>
    </row>
    <row r="23" spans="1:14" ht="24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9">
        <f>J22-G23+H23</f>
        <v>0</v>
      </c>
      <c r="K23" s="9" t="str">
        <f>IF(J23&lt;200,"تنبيه: اعد التعبئة","مقبول")</f>
        <v>تنبيه: اعد التعبئة</v>
      </c>
      <c r="L23" s="9"/>
      <c r="M23" s="9"/>
      <c r="N23" s="9"/>
    </row>
    <row r="24" spans="1:14" ht="24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>
        <f>J23-G24+H24</f>
        <v>0</v>
      </c>
      <c r="K24" s="8" t="str">
        <f>IF(J24&lt;200,"تنبيه: اعد التعبئة","مقبول")</f>
        <v>تنبيه: اعد التعبئة</v>
      </c>
      <c r="L24" s="8"/>
      <c r="M24" s="8"/>
      <c r="N24" s="8"/>
    </row>
    <row r="25" spans="1:14" ht="24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9">
        <f>J24-G25+H25</f>
        <v>0</v>
      </c>
      <c r="K25" s="9" t="str">
        <f>IF(J25&lt;200,"تنبيه: اعد التعبئة","مقبول")</f>
        <v>تنبيه: اعد التعبئة</v>
      </c>
      <c r="L25" s="9"/>
      <c r="M25" s="9"/>
      <c r="N25" s="9"/>
    </row>
    <row r="26" spans="1:14" ht="24" customHeight="1" x14ac:dyDescent="0.35">
      <c r="A26" s="8"/>
      <c r="B26" s="8"/>
      <c r="C26" s="8"/>
      <c r="D26" s="8"/>
      <c r="E26" s="8"/>
      <c r="F26" s="8"/>
      <c r="G26" s="8"/>
      <c r="H26" s="8"/>
      <c r="I26" s="8"/>
      <c r="J26" s="8">
        <f>J25-G26+H26</f>
        <v>0</v>
      </c>
      <c r="K26" s="8" t="str">
        <f>IF(J26&lt;200,"تنبيه: اعد التعبئة","مقبول")</f>
        <v>تنبيه: اعد التعبئة</v>
      </c>
      <c r="L26" s="8"/>
      <c r="M26" s="8"/>
      <c r="N26" s="8"/>
    </row>
    <row r="27" spans="1:14" ht="24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9">
        <f>J26-G27+H27</f>
        <v>0</v>
      </c>
      <c r="K27" s="9" t="str">
        <f>IF(J27&lt;200,"تنبيه: اعد التعبئة","مقبول")</f>
        <v>تنبيه: اعد التعبئة</v>
      </c>
      <c r="L27" s="9"/>
      <c r="M27" s="9"/>
      <c r="N27" s="9"/>
    </row>
    <row r="28" spans="1:14" ht="24" customHeight="1" x14ac:dyDescent="0.35">
      <c r="A28" s="8"/>
      <c r="B28" s="8"/>
      <c r="C28" s="8"/>
      <c r="D28" s="8"/>
      <c r="E28" s="8"/>
      <c r="F28" s="8"/>
      <c r="G28" s="8"/>
      <c r="H28" s="8"/>
      <c r="I28" s="8"/>
      <c r="J28" s="8">
        <f>J27-G28+H28</f>
        <v>0</v>
      </c>
      <c r="K28" s="8" t="str">
        <f>IF(J28&lt;200,"تنبيه: اعد التعبئة","مقبول")</f>
        <v>تنبيه: اعد التعبئة</v>
      </c>
      <c r="L28" s="8"/>
      <c r="M28" s="8"/>
      <c r="N28" s="8"/>
    </row>
    <row r="29" spans="1:14" ht="24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9">
        <f>J28-G29+H29</f>
        <v>0</v>
      </c>
      <c r="K29" s="9" t="str">
        <f>IF(J29&lt;200,"تنبيه: اعد التعبئة","مقبول")</f>
        <v>تنبيه: اعد التعبئة</v>
      </c>
      <c r="L29" s="9"/>
      <c r="M29" s="9"/>
      <c r="N29" s="9"/>
    </row>
    <row r="30" spans="1:14" ht="24" customHeight="1" x14ac:dyDescent="0.35">
      <c r="A30" s="8"/>
      <c r="B30" s="8"/>
      <c r="C30" s="8"/>
      <c r="D30" s="8"/>
      <c r="E30" s="8"/>
      <c r="F30" s="8"/>
      <c r="G30" s="8"/>
      <c r="H30" s="8"/>
      <c r="I30" s="8"/>
      <c r="J30" s="8">
        <f>J29-G30+H30</f>
        <v>0</v>
      </c>
      <c r="K30" s="8" t="str">
        <f>IF(J30&lt;200,"تنبيه: اعد التعبئة","مقبول")</f>
        <v>تنبيه: اعد التعبئة</v>
      </c>
      <c r="L30" s="8"/>
      <c r="M30" s="8"/>
      <c r="N30" s="8"/>
    </row>
    <row r="31" spans="1:14" ht="24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>
        <f>J30-G31+H31</f>
        <v>0</v>
      </c>
      <c r="K31" s="9" t="str">
        <f>IF(J31&lt;200,"تنبيه: اعد التعبئة","مقبول")</f>
        <v>تنبيه: اعد التعبئة</v>
      </c>
      <c r="L31" s="9"/>
      <c r="M31" s="9"/>
      <c r="N31" s="9"/>
    </row>
    <row r="32" spans="1:14" ht="24" customHeight="1" x14ac:dyDescent="0.35">
      <c r="A32" s="8"/>
      <c r="B32" s="8"/>
      <c r="C32" s="8"/>
      <c r="D32" s="8"/>
      <c r="E32" s="8"/>
      <c r="F32" s="8"/>
      <c r="G32" s="8"/>
      <c r="H32" s="8"/>
      <c r="I32" s="8"/>
      <c r="J32" s="8">
        <f>J31-G32+H32</f>
        <v>0</v>
      </c>
      <c r="K32" s="8" t="str">
        <f>IF(J32&lt;200,"تنبيه: اعد التعبئة","مقبول")</f>
        <v>تنبيه: اعد التعبئة</v>
      </c>
      <c r="L32" s="8"/>
      <c r="M32" s="8"/>
      <c r="N32" s="8"/>
    </row>
    <row r="33" spans="1:14" ht="24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>
        <f>J32-G33+H33</f>
        <v>0</v>
      </c>
      <c r="K33" s="9" t="str">
        <f>IF(J33&lt;200,"تنبيه: اعد التعبئة","مقبول")</f>
        <v>تنبيه: اعد التعبئة</v>
      </c>
      <c r="L33" s="9"/>
      <c r="M33" s="9"/>
      <c r="N33" s="9"/>
    </row>
    <row r="34" spans="1:14" ht="24" customHeight="1" x14ac:dyDescent="0.35">
      <c r="A34" s="8"/>
      <c r="B34" s="8"/>
      <c r="C34" s="8"/>
      <c r="D34" s="8"/>
      <c r="E34" s="8"/>
      <c r="F34" s="8"/>
      <c r="G34" s="8"/>
      <c r="H34" s="8"/>
      <c r="I34" s="8"/>
      <c r="J34" s="8">
        <f>J33-G34+H34</f>
        <v>0</v>
      </c>
      <c r="K34" s="8" t="str">
        <f>IF(J34&lt;200,"تنبيه: اعد التعبئة","مقبول")</f>
        <v>تنبيه: اعد التعبئة</v>
      </c>
      <c r="L34" s="8"/>
      <c r="M34" s="8"/>
      <c r="N34" s="8"/>
    </row>
    <row r="35" spans="1:14" x14ac:dyDescent="0.35">
      <c r="A35" s="10" t="s">
        <v>18</v>
      </c>
      <c r="B35" s="10"/>
      <c r="C35" s="10"/>
      <c r="D35" s="10"/>
      <c r="E35" s="10"/>
      <c r="F35" s="10"/>
      <c r="G35" s="10">
        <f>SUM(G4:G34)</f>
        <v>0</v>
      </c>
      <c r="H35" s="10">
        <f>SUM(H4:H34)</f>
        <v>0</v>
      </c>
      <c r="I35" s="10"/>
      <c r="J35" s="10">
        <f>J34</f>
        <v>0</v>
      </c>
      <c r="K35" s="10"/>
      <c r="L35" s="10"/>
      <c r="M35" s="10"/>
      <c r="N35" s="10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4250-E8C7-4DBE-B992-272490147F32}">
  <sheetPr>
    <tabColor rgb="FF007033"/>
  </sheetPr>
  <dimension ref="A1:F12"/>
  <sheetViews>
    <sheetView rightToLeft="1" workbookViewId="0"/>
  </sheetViews>
  <sheetFormatPr defaultRowHeight="14.5" x14ac:dyDescent="0.35"/>
  <cols>
    <col min="1" max="4" width="22.6328125" customWidth="1"/>
    <col min="5" max="6" width="0" hidden="1" customWidth="1"/>
  </cols>
  <sheetData>
    <row r="1" spans="1:6" ht="42" customHeight="1" x14ac:dyDescent="0.35">
      <c r="A1" s="11" t="s">
        <v>19</v>
      </c>
      <c r="B1" s="3"/>
      <c r="C1" s="3"/>
      <c r="D1" s="3"/>
      <c r="E1" s="3"/>
      <c r="F1" s="3"/>
    </row>
    <row r="2" spans="1:6" ht="30" customHeight="1" x14ac:dyDescent="0.35">
      <c r="A2" s="12" t="s">
        <v>20</v>
      </c>
      <c r="B2" s="3"/>
      <c r="C2" s="3"/>
      <c r="D2" s="3"/>
      <c r="E2" s="3"/>
      <c r="F2" s="3"/>
    </row>
    <row r="3" spans="1:6" ht="32" customHeight="1" x14ac:dyDescent="0.35">
      <c r="A3" s="13" t="s">
        <v>21</v>
      </c>
      <c r="B3" s="14" t="s">
        <v>22</v>
      </c>
      <c r="C3" s="14"/>
      <c r="D3" s="13" t="s">
        <v>23</v>
      </c>
      <c r="E3" s="14"/>
      <c r="F3" s="14"/>
    </row>
    <row r="4" spans="1:6" ht="32" customHeight="1" x14ac:dyDescent="0.35">
      <c r="A4" s="13" t="s">
        <v>24</v>
      </c>
      <c r="B4" s="14"/>
      <c r="C4" s="14"/>
      <c r="D4" s="13" t="s">
        <v>25</v>
      </c>
      <c r="E4" s="14"/>
      <c r="F4" s="14"/>
    </row>
    <row r="5" spans="1:6" ht="32" customHeight="1" x14ac:dyDescent="0.35">
      <c r="A5" s="13" t="s">
        <v>26</v>
      </c>
      <c r="B5" s="14"/>
      <c r="C5" s="14"/>
      <c r="D5" s="13" t="s">
        <v>27</v>
      </c>
      <c r="E5" s="14"/>
      <c r="F5" s="14"/>
    </row>
    <row r="6" spans="1:6" ht="32" customHeight="1" x14ac:dyDescent="0.35">
      <c r="A6" s="13" t="s">
        <v>28</v>
      </c>
      <c r="B6" s="14"/>
      <c r="C6" s="14"/>
      <c r="D6" s="13"/>
      <c r="E6" s="14"/>
      <c r="F6" s="14"/>
    </row>
    <row r="7" spans="1:6" ht="32" customHeight="1" x14ac:dyDescent="0.35">
      <c r="A7" s="13" t="s">
        <v>29</v>
      </c>
      <c r="B7" s="14"/>
      <c r="C7" s="14"/>
      <c r="D7" s="13" t="s">
        <v>30</v>
      </c>
      <c r="E7" s="14"/>
      <c r="F7" s="14"/>
    </row>
    <row r="8" spans="1:6" ht="32" customHeight="1" x14ac:dyDescent="0.35">
      <c r="A8" s="13" t="s">
        <v>31</v>
      </c>
      <c r="B8" s="14" t="s">
        <v>32</v>
      </c>
      <c r="C8" s="14"/>
      <c r="D8" s="13" t="s">
        <v>33</v>
      </c>
      <c r="E8" s="14"/>
      <c r="F8" s="14"/>
    </row>
    <row r="9" spans="1:6" x14ac:dyDescent="0.35">
      <c r="A9" s="4"/>
      <c r="B9" s="4"/>
      <c r="C9" s="4"/>
      <c r="D9" s="4"/>
      <c r="E9" s="4"/>
      <c r="F9" s="4"/>
    </row>
    <row r="10" spans="1:6" ht="28" customHeight="1" x14ac:dyDescent="0.35">
      <c r="A10" s="15" t="s">
        <v>34</v>
      </c>
      <c r="B10" s="3"/>
      <c r="C10" s="3"/>
      <c r="D10" s="3"/>
      <c r="E10" s="3"/>
      <c r="F10" s="3"/>
    </row>
    <row r="11" spans="1:6" ht="30" customHeight="1" x14ac:dyDescent="0.35">
      <c r="A11" s="16" t="s">
        <v>35</v>
      </c>
      <c r="B11" s="16" t="s">
        <v>37</v>
      </c>
      <c r="C11" s="16" t="s">
        <v>38</v>
      </c>
      <c r="D11" s="16" t="s">
        <v>39</v>
      </c>
      <c r="E11" s="4"/>
      <c r="F11" s="4"/>
    </row>
    <row r="12" spans="1:6" ht="55" customHeight="1" x14ac:dyDescent="0.35">
      <c r="A12" s="17" t="s">
        <v>36</v>
      </c>
      <c r="B12" s="17" t="s">
        <v>36</v>
      </c>
      <c r="C12" s="17" t="s">
        <v>36</v>
      </c>
      <c r="D12" s="17" t="s">
        <v>40</v>
      </c>
      <c r="E12" s="4"/>
      <c r="F12" s="4"/>
    </row>
  </sheetData>
  <mergeCells count="15">
    <mergeCell ref="B8:C8"/>
    <mergeCell ref="E8:F8"/>
    <mergeCell ref="A10:F10"/>
    <mergeCell ref="B5:C5"/>
    <mergeCell ref="E5:F5"/>
    <mergeCell ref="B6:C6"/>
    <mergeCell ref="E6:F6"/>
    <mergeCell ref="B7:C7"/>
    <mergeCell ref="E7:F7"/>
    <mergeCell ref="A1:F1"/>
    <mergeCell ref="A2:F2"/>
    <mergeCell ref="B3:C3"/>
    <mergeCell ref="E3:F3"/>
    <mergeCell ref="B4:C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E471-A3DC-4A05-AEDB-5C685A9D53C4}">
  <sheetPr>
    <tabColor rgb="FF7030A0"/>
  </sheetPr>
  <dimension ref="A1:F10"/>
  <sheetViews>
    <sheetView rightToLeft="1" workbookViewId="0"/>
  </sheetViews>
  <sheetFormatPr defaultRowHeight="14.5" x14ac:dyDescent="0.35"/>
  <cols>
    <col min="1" max="1" width="22.6328125" customWidth="1"/>
    <col min="2" max="2" width="30.6328125" customWidth="1"/>
    <col min="3" max="3" width="22.6328125" customWidth="1"/>
    <col min="4" max="4" width="30.6328125" customWidth="1"/>
    <col min="5" max="6" width="0" hidden="1" customWidth="1"/>
  </cols>
  <sheetData>
    <row r="1" spans="1:6" ht="38" customHeight="1" x14ac:dyDescent="0.35">
      <c r="A1" s="18" t="s">
        <v>41</v>
      </c>
      <c r="B1" s="3"/>
      <c r="C1" s="3"/>
      <c r="D1" s="3"/>
      <c r="E1" s="3"/>
      <c r="F1" s="3"/>
    </row>
    <row r="2" spans="1:6" ht="32" customHeight="1" x14ac:dyDescent="0.35">
      <c r="A2" s="19" t="s">
        <v>42</v>
      </c>
      <c r="B2" s="14" t="s">
        <v>43</v>
      </c>
      <c r="C2" s="14"/>
      <c r="D2" s="19" t="s">
        <v>44</v>
      </c>
      <c r="E2" s="14"/>
      <c r="F2" s="14"/>
    </row>
    <row r="3" spans="1:6" ht="32" customHeight="1" x14ac:dyDescent="0.35">
      <c r="A3" s="19" t="s">
        <v>45</v>
      </c>
      <c r="B3" s="14"/>
      <c r="C3" s="14"/>
      <c r="D3" s="19" t="s">
        <v>46</v>
      </c>
      <c r="E3" s="14"/>
      <c r="F3" s="14"/>
    </row>
    <row r="4" spans="1:6" ht="32" customHeight="1" x14ac:dyDescent="0.35">
      <c r="A4" s="19" t="s">
        <v>47</v>
      </c>
      <c r="B4" s="14"/>
      <c r="C4" s="14"/>
      <c r="D4" s="19"/>
      <c r="E4" s="14"/>
      <c r="F4" s="14"/>
    </row>
    <row r="5" spans="1:6" ht="32" customHeight="1" x14ac:dyDescent="0.35">
      <c r="A5" s="19" t="s">
        <v>29</v>
      </c>
      <c r="B5" s="14"/>
      <c r="C5" s="14"/>
      <c r="D5" s="19" t="s">
        <v>30</v>
      </c>
      <c r="E5" s="14"/>
      <c r="F5" s="14"/>
    </row>
    <row r="6" spans="1:6" ht="32" customHeight="1" x14ac:dyDescent="0.35">
      <c r="A6" s="19" t="s">
        <v>48</v>
      </c>
      <c r="B6" s="14" t="s">
        <v>49</v>
      </c>
      <c r="C6" s="14"/>
      <c r="D6" s="19" t="s">
        <v>50</v>
      </c>
      <c r="E6" s="14"/>
      <c r="F6" s="14"/>
    </row>
    <row r="7" spans="1:6" x14ac:dyDescent="0.35">
      <c r="A7" s="4"/>
      <c r="B7" s="4"/>
      <c r="C7" s="4"/>
      <c r="D7" s="4"/>
      <c r="E7" s="4"/>
      <c r="F7" s="4"/>
    </row>
    <row r="8" spans="1:6" ht="38" customHeight="1" x14ac:dyDescent="0.35">
      <c r="A8" s="19" t="s">
        <v>51</v>
      </c>
      <c r="B8" s="4"/>
      <c r="C8" s="4"/>
      <c r="D8" s="19" t="s">
        <v>54</v>
      </c>
      <c r="E8" s="4"/>
      <c r="F8" s="4"/>
    </row>
    <row r="9" spans="1:6" ht="38" customHeight="1" x14ac:dyDescent="0.35">
      <c r="A9" s="4" t="s">
        <v>52</v>
      </c>
      <c r="B9" s="4"/>
      <c r="C9" s="4"/>
      <c r="D9" s="4" t="s">
        <v>52</v>
      </c>
      <c r="E9" s="4"/>
      <c r="F9" s="4"/>
    </row>
    <row r="10" spans="1:6" ht="38" customHeight="1" x14ac:dyDescent="0.35">
      <c r="A10" s="4" t="s">
        <v>53</v>
      </c>
      <c r="B10" s="4"/>
      <c r="C10" s="4"/>
      <c r="D10" s="4" t="s">
        <v>53</v>
      </c>
      <c r="E10" s="4"/>
      <c r="F10" s="4"/>
    </row>
  </sheetData>
  <mergeCells count="11">
    <mergeCell ref="B5:C5"/>
    <mergeCell ref="E5:F5"/>
    <mergeCell ref="B6:C6"/>
    <mergeCell ref="E6:F6"/>
    <mergeCell ref="A1:F1"/>
    <mergeCell ref="B2:C2"/>
    <mergeCell ref="E2:F2"/>
    <mergeCell ref="B3:C3"/>
    <mergeCell ref="E3:F3"/>
    <mergeCell ref="B4:C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75BE-4127-461D-B60C-60847292F87F}">
  <sheetPr>
    <tabColor rgb="FF9C0006"/>
  </sheetPr>
  <dimension ref="A1:G30"/>
  <sheetViews>
    <sheetView rightToLeft="1" workbookViewId="0"/>
  </sheetViews>
  <sheetFormatPr defaultRowHeight="14.5" x14ac:dyDescent="0.35"/>
  <cols>
    <col min="1" max="1" width="26.6328125" customWidth="1"/>
    <col min="2" max="6" width="14.6328125" customWidth="1"/>
    <col min="7" max="7" width="20.6328125" customWidth="1"/>
  </cols>
  <sheetData>
    <row r="1" spans="1:7" ht="38" customHeight="1" x14ac:dyDescent="0.35">
      <c r="A1" s="20" t="s">
        <v>55</v>
      </c>
      <c r="B1" s="3"/>
      <c r="C1" s="3"/>
      <c r="D1" s="3"/>
      <c r="E1" s="3"/>
      <c r="F1" s="3"/>
      <c r="G1" s="3"/>
    </row>
    <row r="2" spans="1:7" ht="28" customHeight="1" x14ac:dyDescent="0.35">
      <c r="A2" s="21" t="s">
        <v>56</v>
      </c>
      <c r="B2" s="4"/>
      <c r="C2" s="4"/>
      <c r="D2" s="21" t="s">
        <v>57</v>
      </c>
      <c r="E2" s="4" t="s">
        <v>58</v>
      </c>
      <c r="F2" s="4"/>
      <c r="G2" s="4"/>
    </row>
    <row r="3" spans="1:7" ht="35" customHeight="1" x14ac:dyDescent="0.35">
      <c r="A3" s="21" t="s">
        <v>59</v>
      </c>
      <c r="B3" s="4"/>
      <c r="C3" s="4"/>
      <c r="D3" s="21" t="s">
        <v>24</v>
      </c>
      <c r="E3" s="4"/>
      <c r="F3" s="4"/>
      <c r="G3" s="4"/>
    </row>
    <row r="4" spans="1:7" ht="26" customHeight="1" x14ac:dyDescent="0.35">
      <c r="A4" s="22" t="s">
        <v>60</v>
      </c>
      <c r="B4" s="3"/>
      <c r="C4" s="3"/>
      <c r="D4" s="3"/>
      <c r="E4" s="3"/>
      <c r="F4" s="3"/>
      <c r="G4" s="3"/>
    </row>
    <row r="5" spans="1:7" s="1" customFormat="1" x14ac:dyDescent="0.35">
      <c r="A5" s="7" t="s">
        <v>61</v>
      </c>
      <c r="B5" s="7" t="s">
        <v>62</v>
      </c>
      <c r="C5" s="7" t="s">
        <v>63</v>
      </c>
      <c r="D5" s="7" t="s">
        <v>64</v>
      </c>
      <c r="E5" s="7" t="s">
        <v>65</v>
      </c>
      <c r="F5" s="7" t="s">
        <v>66</v>
      </c>
      <c r="G5" s="7" t="s">
        <v>67</v>
      </c>
    </row>
    <row r="6" spans="1:7" ht="26" customHeight="1" x14ac:dyDescent="0.35">
      <c r="A6" s="9" t="s">
        <v>68</v>
      </c>
      <c r="B6" s="9"/>
      <c r="C6" s="9"/>
      <c r="D6" s="9"/>
      <c r="E6" s="9"/>
      <c r="F6" s="9"/>
      <c r="G6" s="9"/>
    </row>
    <row r="7" spans="1:7" ht="26" customHeight="1" x14ac:dyDescent="0.35">
      <c r="A7" s="9" t="s">
        <v>69</v>
      </c>
      <c r="B7" s="9"/>
      <c r="C7" s="9"/>
      <c r="D7" s="9"/>
      <c r="E7" s="9"/>
      <c r="F7" s="9"/>
      <c r="G7" s="9"/>
    </row>
    <row r="8" spans="1:7" ht="26" customHeight="1" x14ac:dyDescent="0.35">
      <c r="A8" s="23" t="s">
        <v>70</v>
      </c>
      <c r="B8" s="23"/>
      <c r="C8" s="23"/>
      <c r="D8" s="23"/>
      <c r="E8" s="23"/>
      <c r="F8" s="23">
        <f>SUM(B6:E6)+SUM(B7:E7)</f>
        <v>0</v>
      </c>
      <c r="G8" s="23"/>
    </row>
    <row r="9" spans="1:7" x14ac:dyDescent="0.35">
      <c r="A9" s="4"/>
      <c r="B9" s="4"/>
      <c r="C9" s="4"/>
      <c r="D9" s="4"/>
      <c r="E9" s="4"/>
      <c r="F9" s="4"/>
      <c r="G9" s="4"/>
    </row>
    <row r="10" spans="1:7" ht="26" customHeight="1" x14ac:dyDescent="0.35">
      <c r="A10" s="22" t="s">
        <v>71</v>
      </c>
      <c r="B10" s="3"/>
      <c r="C10" s="3"/>
      <c r="D10" s="3"/>
      <c r="E10" s="3"/>
      <c r="F10" s="3"/>
      <c r="G10" s="3"/>
    </row>
    <row r="11" spans="1:7" s="1" customFormat="1" x14ac:dyDescent="0.35">
      <c r="A11" s="7" t="s">
        <v>8</v>
      </c>
      <c r="B11" s="7" t="s">
        <v>72</v>
      </c>
      <c r="C11" s="7"/>
      <c r="D11" s="7"/>
      <c r="E11" s="7"/>
      <c r="F11" s="7"/>
      <c r="G11" s="7"/>
    </row>
    <row r="12" spans="1:7" ht="26" customHeight="1" x14ac:dyDescent="0.35">
      <c r="A12" s="9" t="s">
        <v>73</v>
      </c>
      <c r="B12" s="9"/>
      <c r="C12" s="9"/>
      <c r="D12" s="9"/>
      <c r="E12" s="9"/>
      <c r="F12" s="9"/>
      <c r="G12" s="9"/>
    </row>
    <row r="13" spans="1:7" ht="26" customHeight="1" x14ac:dyDescent="0.35">
      <c r="A13" s="9" t="s">
        <v>74</v>
      </c>
      <c r="B13" s="9"/>
      <c r="C13" s="9"/>
      <c r="D13" s="9"/>
      <c r="E13" s="9"/>
      <c r="F13" s="9"/>
      <c r="G13" s="9"/>
    </row>
    <row r="14" spans="1:7" ht="26" customHeight="1" x14ac:dyDescent="0.35">
      <c r="A14" s="9" t="s">
        <v>75</v>
      </c>
      <c r="B14" s="9"/>
      <c r="C14" s="9"/>
      <c r="D14" s="9"/>
      <c r="E14" s="9"/>
      <c r="F14" s="9"/>
      <c r="G14" s="9"/>
    </row>
    <row r="15" spans="1:7" ht="26" customHeight="1" x14ac:dyDescent="0.35">
      <c r="A15" s="23" t="s">
        <v>76</v>
      </c>
      <c r="B15" s="23"/>
      <c r="C15" s="23"/>
      <c r="D15" s="23"/>
      <c r="E15" s="23"/>
      <c r="F15" s="23"/>
      <c r="G15" s="23"/>
    </row>
    <row r="16" spans="1:7" ht="26" customHeight="1" x14ac:dyDescent="0.35">
      <c r="A16" s="9" t="s">
        <v>77</v>
      </c>
      <c r="B16" s="9"/>
      <c r="C16" s="9"/>
      <c r="D16" s="9"/>
      <c r="E16" s="9"/>
      <c r="F16" s="9"/>
      <c r="G16" s="9"/>
    </row>
    <row r="17" spans="1:7" ht="26" customHeight="1" x14ac:dyDescent="0.35">
      <c r="A17" s="24" t="s">
        <v>78</v>
      </c>
      <c r="B17" s="24"/>
      <c r="C17" s="24"/>
      <c r="D17" s="24"/>
      <c r="E17" s="24"/>
      <c r="F17" s="24"/>
      <c r="G17" s="24"/>
    </row>
    <row r="18" spans="1:7" x14ac:dyDescent="0.35">
      <c r="A18" s="4"/>
      <c r="B18" s="4"/>
      <c r="C18" s="4"/>
      <c r="D18" s="4"/>
      <c r="E18" s="4"/>
      <c r="F18" s="4"/>
      <c r="G18" s="4"/>
    </row>
    <row r="19" spans="1:7" ht="26" customHeight="1" x14ac:dyDescent="0.35">
      <c r="A19" s="22" t="s">
        <v>79</v>
      </c>
      <c r="B19" s="3"/>
      <c r="C19" s="3"/>
      <c r="D19" s="3"/>
      <c r="E19" s="3"/>
      <c r="F19" s="3"/>
      <c r="G19" s="3"/>
    </row>
    <row r="20" spans="1:7" s="1" customFormat="1" x14ac:dyDescent="0.35">
      <c r="A20" s="7" t="s">
        <v>8</v>
      </c>
      <c r="B20" s="7" t="s">
        <v>80</v>
      </c>
      <c r="C20" s="7" t="s">
        <v>15</v>
      </c>
      <c r="D20" s="7"/>
      <c r="E20" s="7"/>
      <c r="F20" s="7"/>
      <c r="G20" s="7"/>
    </row>
    <row r="21" spans="1:7" ht="26" customHeight="1" x14ac:dyDescent="0.35">
      <c r="A21" s="9" t="s">
        <v>81</v>
      </c>
      <c r="B21" s="9"/>
      <c r="C21" s="9"/>
      <c r="D21" s="9"/>
      <c r="E21" s="9"/>
      <c r="F21" s="9"/>
      <c r="G21" s="9"/>
    </row>
    <row r="22" spans="1:7" ht="26" customHeight="1" x14ac:dyDescent="0.35">
      <c r="A22" s="9" t="s">
        <v>82</v>
      </c>
      <c r="B22" s="9"/>
      <c r="C22" s="9"/>
      <c r="D22" s="9"/>
      <c r="E22" s="9"/>
      <c r="F22" s="9"/>
      <c r="G22" s="9"/>
    </row>
    <row r="23" spans="1:7" ht="26" customHeight="1" x14ac:dyDescent="0.35">
      <c r="A23" s="9" t="s">
        <v>83</v>
      </c>
      <c r="B23" s="9"/>
      <c r="C23" s="9"/>
      <c r="D23" s="9"/>
      <c r="E23" s="9"/>
      <c r="F23" s="9"/>
      <c r="G23" s="9"/>
    </row>
    <row r="24" spans="1:7" ht="26" customHeight="1" x14ac:dyDescent="0.35">
      <c r="A24" s="9" t="s">
        <v>84</v>
      </c>
      <c r="B24" s="9"/>
      <c r="C24" s="9"/>
      <c r="D24" s="9"/>
      <c r="E24" s="9"/>
      <c r="F24" s="9"/>
      <c r="G24" s="9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ht="28" customHeight="1" x14ac:dyDescent="0.35">
      <c r="A26" s="21" t="s">
        <v>85</v>
      </c>
      <c r="B26" s="4"/>
      <c r="C26" s="4"/>
      <c r="D26" s="4"/>
      <c r="E26" s="4"/>
      <c r="F26" s="4"/>
      <c r="G26" s="4"/>
    </row>
    <row r="27" spans="1:7" ht="28" customHeight="1" x14ac:dyDescent="0.35">
      <c r="A27" s="14"/>
      <c r="B27" s="14"/>
      <c r="C27" s="14"/>
      <c r="D27" s="14"/>
      <c r="E27" s="14"/>
      <c r="F27" s="14"/>
      <c r="G27" s="14"/>
    </row>
    <row r="28" spans="1:7" ht="28" customHeight="1" x14ac:dyDescent="0.35">
      <c r="A28" s="14"/>
      <c r="B28" s="14"/>
      <c r="C28" s="14"/>
      <c r="D28" s="14"/>
      <c r="E28" s="14"/>
      <c r="F28" s="14"/>
      <c r="G28" s="14"/>
    </row>
    <row r="29" spans="1:7" ht="28" customHeight="1" x14ac:dyDescent="0.35">
      <c r="A29" s="14"/>
      <c r="B29" s="14"/>
      <c r="C29" s="14"/>
      <c r="D29" s="14"/>
      <c r="E29" s="14"/>
      <c r="F29" s="14"/>
      <c r="G29" s="14"/>
    </row>
    <row r="30" spans="1:7" ht="38" customHeight="1" x14ac:dyDescent="0.35">
      <c r="A30" s="23" t="s">
        <v>86</v>
      </c>
      <c r="B30" s="23" t="s">
        <v>52</v>
      </c>
      <c r="C30" s="23"/>
      <c r="D30" s="23" t="s">
        <v>53</v>
      </c>
      <c r="E30" s="23"/>
      <c r="F30" s="23" t="s">
        <v>87</v>
      </c>
      <c r="G30" s="23"/>
    </row>
  </sheetData>
  <mergeCells count="5">
    <mergeCell ref="A1:G1"/>
    <mergeCell ref="A4:G4"/>
    <mergeCell ref="A10:G10"/>
    <mergeCell ref="A19:G19"/>
    <mergeCell ref="A27:G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65CF-58BD-4F0B-BFAD-277761531F61}">
  <sheetPr>
    <tabColor rgb="FF1F497D"/>
  </sheetPr>
  <dimension ref="A1:F29"/>
  <sheetViews>
    <sheetView rightToLeft="1" workbookViewId="0"/>
  </sheetViews>
  <sheetFormatPr defaultRowHeight="14.5" x14ac:dyDescent="0.35"/>
  <cols>
    <col min="1" max="1" width="24.6328125" customWidth="1"/>
    <col min="2" max="2" width="28.6328125" customWidth="1"/>
    <col min="3" max="3" width="24.6328125" customWidth="1"/>
    <col min="4" max="4" width="28.6328125" customWidth="1"/>
    <col min="5" max="5" width="0" hidden="1" customWidth="1"/>
    <col min="6" max="6" width="18.6328125" customWidth="1"/>
  </cols>
  <sheetData>
    <row r="1" spans="1:6" ht="38" customHeight="1" x14ac:dyDescent="0.35">
      <c r="A1" s="2" t="s">
        <v>88</v>
      </c>
      <c r="B1" s="3"/>
      <c r="C1" s="3"/>
      <c r="D1" s="3"/>
      <c r="E1" s="3"/>
      <c r="F1" s="3"/>
    </row>
    <row r="2" spans="1:6" ht="26" customHeight="1" x14ac:dyDescent="0.35">
      <c r="A2" s="15" t="s">
        <v>89</v>
      </c>
      <c r="B2" s="3"/>
      <c r="C2" s="3"/>
      <c r="D2" s="3"/>
      <c r="E2" s="3"/>
      <c r="F2" s="3"/>
    </row>
    <row r="3" spans="1:6" ht="30" customHeight="1" x14ac:dyDescent="0.35">
      <c r="A3" s="25"/>
      <c r="B3" s="14"/>
      <c r="C3" s="14"/>
      <c r="D3" s="25"/>
      <c r="E3" s="14"/>
      <c r="F3" s="14"/>
    </row>
    <row r="4" spans="1:6" ht="30" customHeight="1" x14ac:dyDescent="0.35">
      <c r="A4" s="25"/>
      <c r="B4" s="14"/>
      <c r="C4" s="14"/>
      <c r="D4" s="25"/>
      <c r="E4" s="14"/>
      <c r="F4" s="14"/>
    </row>
    <row r="5" spans="1:6" ht="30" customHeight="1" x14ac:dyDescent="0.35">
      <c r="A5" s="25"/>
      <c r="B5" s="14"/>
      <c r="C5" s="14"/>
      <c r="D5" s="25"/>
      <c r="E5" s="14"/>
      <c r="F5" s="14"/>
    </row>
    <row r="6" spans="1:6" ht="30" customHeight="1" x14ac:dyDescent="0.35">
      <c r="A6" s="25"/>
      <c r="B6" s="14"/>
      <c r="C6" s="14"/>
      <c r="D6" s="25"/>
      <c r="E6" s="14"/>
      <c r="F6" s="14"/>
    </row>
    <row r="7" spans="1:6" ht="26" customHeight="1" x14ac:dyDescent="0.35">
      <c r="A7" s="26" t="s">
        <v>90</v>
      </c>
      <c r="B7" s="3"/>
      <c r="C7" s="3"/>
      <c r="D7" s="3"/>
      <c r="E7" s="3"/>
      <c r="F7" s="3"/>
    </row>
    <row r="8" spans="1:6" ht="30" customHeight="1" x14ac:dyDescent="0.35">
      <c r="A8" s="13"/>
      <c r="B8" s="14"/>
      <c r="C8" s="14"/>
      <c r="D8" s="13"/>
      <c r="E8" s="14"/>
      <c r="F8" s="14"/>
    </row>
    <row r="9" spans="1:6" ht="30" customHeight="1" x14ac:dyDescent="0.35">
      <c r="A9" s="13"/>
      <c r="B9" s="14"/>
      <c r="C9" s="14"/>
      <c r="D9" s="13"/>
      <c r="E9" s="14"/>
      <c r="F9" s="14"/>
    </row>
    <row r="10" spans="1:6" ht="30" customHeight="1" x14ac:dyDescent="0.35">
      <c r="A10" s="13"/>
      <c r="B10" s="14"/>
      <c r="C10" s="14"/>
      <c r="D10" s="13"/>
      <c r="E10" s="14"/>
      <c r="F10" s="14"/>
    </row>
    <row r="11" spans="1:6" ht="30" customHeight="1" x14ac:dyDescent="0.35">
      <c r="A11" s="13"/>
      <c r="B11" s="14"/>
      <c r="C11" s="14"/>
      <c r="D11" s="13"/>
      <c r="E11" s="14"/>
      <c r="F11" s="14"/>
    </row>
    <row r="12" spans="1:6" ht="26" customHeight="1" x14ac:dyDescent="0.35">
      <c r="A12" s="27" t="s">
        <v>91</v>
      </c>
      <c r="B12" s="3"/>
      <c r="C12" s="3"/>
      <c r="D12" s="3"/>
      <c r="E12" s="3"/>
      <c r="F12" s="3"/>
    </row>
    <row r="13" spans="1:6" ht="30" customHeight="1" x14ac:dyDescent="0.35">
      <c r="A13" s="19"/>
      <c r="B13" s="14"/>
      <c r="C13" s="14"/>
      <c r="D13" s="19"/>
      <c r="E13" s="14"/>
      <c r="F13" s="14"/>
    </row>
    <row r="14" spans="1:6" ht="30" customHeight="1" x14ac:dyDescent="0.35">
      <c r="A14" s="19"/>
      <c r="B14" s="14"/>
      <c r="C14" s="14"/>
      <c r="D14" s="19"/>
      <c r="E14" s="14"/>
      <c r="F14" s="14"/>
    </row>
    <row r="15" spans="1:6" ht="30" customHeight="1" x14ac:dyDescent="0.35">
      <c r="A15" s="19"/>
      <c r="B15" s="14"/>
      <c r="C15" s="14"/>
      <c r="D15" s="19"/>
      <c r="E15" s="14"/>
      <c r="F15" s="14"/>
    </row>
    <row r="16" spans="1:6" ht="30" customHeight="1" x14ac:dyDescent="0.35">
      <c r="A16" s="19"/>
      <c r="B16" s="14"/>
      <c r="C16" s="14"/>
      <c r="D16" s="19"/>
      <c r="E16" s="14"/>
      <c r="F16" s="14"/>
    </row>
    <row r="17" spans="1:6" ht="26" customHeight="1" x14ac:dyDescent="0.35">
      <c r="A17" s="22" t="s">
        <v>92</v>
      </c>
      <c r="B17" s="3"/>
      <c r="C17" s="3"/>
      <c r="D17" s="3"/>
      <c r="E17" s="3"/>
      <c r="F17" s="3"/>
    </row>
    <row r="18" spans="1:6" ht="30" customHeight="1" x14ac:dyDescent="0.35">
      <c r="A18" s="21"/>
      <c r="B18" s="14"/>
      <c r="C18" s="14"/>
      <c r="D18" s="21"/>
      <c r="E18" s="14"/>
      <c r="F18" s="14"/>
    </row>
    <row r="19" spans="1:6" ht="30" customHeight="1" x14ac:dyDescent="0.35">
      <c r="A19" s="21"/>
      <c r="B19" s="14"/>
      <c r="C19" s="14"/>
      <c r="D19" s="21"/>
      <c r="E19" s="14"/>
      <c r="F19" s="14"/>
    </row>
    <row r="20" spans="1:6" ht="30" customHeight="1" x14ac:dyDescent="0.35">
      <c r="A20" s="21"/>
      <c r="B20" s="14"/>
      <c r="C20" s="14"/>
      <c r="D20" s="21"/>
      <c r="E20" s="14"/>
      <c r="F20" s="14"/>
    </row>
    <row r="21" spans="1:6" ht="30" customHeight="1" x14ac:dyDescent="0.35">
      <c r="A21" s="21"/>
      <c r="B21" s="14"/>
      <c r="C21" s="14"/>
      <c r="D21" s="21"/>
      <c r="E21" s="14"/>
      <c r="F21" s="14"/>
    </row>
    <row r="22" spans="1:6" ht="26" customHeight="1" x14ac:dyDescent="0.35">
      <c r="A22" s="28" t="s">
        <v>93</v>
      </c>
      <c r="B22" s="3"/>
      <c r="C22" s="3"/>
      <c r="D22" s="3"/>
      <c r="E22" s="3"/>
      <c r="F22" s="3"/>
    </row>
    <row r="23" spans="1:6" ht="30" customHeight="1" x14ac:dyDescent="0.35">
      <c r="A23" s="29"/>
      <c r="B23" s="14"/>
      <c r="C23" s="14"/>
      <c r="D23" s="29"/>
      <c r="E23" s="14"/>
      <c r="F23" s="14"/>
    </row>
    <row r="24" spans="1:6" ht="30" customHeight="1" x14ac:dyDescent="0.35">
      <c r="A24" s="29"/>
      <c r="B24" s="14"/>
      <c r="C24" s="14"/>
      <c r="D24" s="29"/>
      <c r="E24" s="14"/>
      <c r="F24" s="14"/>
    </row>
    <row r="25" spans="1:6" ht="30" customHeight="1" x14ac:dyDescent="0.35">
      <c r="A25" s="29"/>
      <c r="B25" s="14"/>
      <c r="C25" s="14"/>
      <c r="D25" s="29"/>
      <c r="E25" s="14"/>
      <c r="F25" s="14"/>
    </row>
    <row r="26" spans="1:6" ht="30" customHeight="1" x14ac:dyDescent="0.35">
      <c r="A26" s="29"/>
      <c r="B26" s="14"/>
      <c r="C26" s="14"/>
      <c r="D26" s="29"/>
      <c r="E26" s="14"/>
      <c r="F26" s="14"/>
    </row>
    <row r="27" spans="1:6" x14ac:dyDescent="0.35">
      <c r="A27" s="4"/>
      <c r="B27" s="4"/>
      <c r="C27" s="4"/>
      <c r="D27" s="4"/>
      <c r="E27" s="4"/>
      <c r="F27" s="4"/>
    </row>
    <row r="28" spans="1:6" ht="26" customHeight="1" x14ac:dyDescent="0.35">
      <c r="A28" s="15" t="s">
        <v>94</v>
      </c>
      <c r="B28" s="3"/>
      <c r="C28" s="3"/>
      <c r="D28" s="3"/>
      <c r="E28" s="3"/>
      <c r="F28" s="3"/>
    </row>
    <row r="29" spans="1:6" ht="55" customHeight="1" x14ac:dyDescent="0.35">
      <c r="A29" s="10" t="s">
        <v>95</v>
      </c>
      <c r="B29" s="10"/>
      <c r="C29" s="10" t="s">
        <v>96</v>
      </c>
      <c r="D29" s="10"/>
      <c r="E29" s="10" t="s">
        <v>97</v>
      </c>
      <c r="F29" s="10"/>
    </row>
  </sheetData>
  <mergeCells count="47">
    <mergeCell ref="A28:F28"/>
    <mergeCell ref="B24:C24"/>
    <mergeCell ref="E24:F24"/>
    <mergeCell ref="B25:C25"/>
    <mergeCell ref="E25:F25"/>
    <mergeCell ref="B26:C26"/>
    <mergeCell ref="E26:F26"/>
    <mergeCell ref="B20:C20"/>
    <mergeCell ref="E20:F20"/>
    <mergeCell ref="B21:C21"/>
    <mergeCell ref="E21:F21"/>
    <mergeCell ref="A22:F22"/>
    <mergeCell ref="B23:C23"/>
    <mergeCell ref="E23:F23"/>
    <mergeCell ref="B16:C16"/>
    <mergeCell ref="E16:F16"/>
    <mergeCell ref="A17:F17"/>
    <mergeCell ref="B18:C18"/>
    <mergeCell ref="E18:F18"/>
    <mergeCell ref="B19:C19"/>
    <mergeCell ref="E19:F19"/>
    <mergeCell ref="A12:F12"/>
    <mergeCell ref="B13:C13"/>
    <mergeCell ref="E13:F13"/>
    <mergeCell ref="B14:C14"/>
    <mergeCell ref="E14:F14"/>
    <mergeCell ref="B15:C15"/>
    <mergeCell ref="E15:F15"/>
    <mergeCell ref="B9:C9"/>
    <mergeCell ref="E9:F9"/>
    <mergeCell ref="B10:C10"/>
    <mergeCell ref="E10:F10"/>
    <mergeCell ref="B11:C11"/>
    <mergeCell ref="E11:F11"/>
    <mergeCell ref="B5:C5"/>
    <mergeCell ref="E5:F5"/>
    <mergeCell ref="B6:C6"/>
    <mergeCell ref="E6:F6"/>
    <mergeCell ref="A7:F7"/>
    <mergeCell ref="B8:C8"/>
    <mergeCell ref="E8:F8"/>
    <mergeCell ref="A1:F1"/>
    <mergeCell ref="A2:F2"/>
    <mergeCell ref="B3:C3"/>
    <mergeCell ref="E3:F3"/>
    <mergeCell ref="B4:C4"/>
    <mergeCell ref="E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1AB9-C343-4A5C-88A4-44C8B1A1FCEE}">
  <sheetPr>
    <tabColor rgb="FF007033"/>
  </sheetPr>
  <dimension ref="A1:F29"/>
  <sheetViews>
    <sheetView rightToLeft="1" workbookViewId="0"/>
  </sheetViews>
  <sheetFormatPr defaultRowHeight="14.5" x14ac:dyDescent="0.35"/>
  <cols>
    <col min="1" max="1" width="24.6328125" customWidth="1"/>
    <col min="2" max="2" width="28.6328125" customWidth="1"/>
    <col min="3" max="3" width="24.6328125" customWidth="1"/>
    <col min="4" max="4" width="28.6328125" customWidth="1"/>
    <col min="5" max="6" width="0" hidden="1" customWidth="1"/>
  </cols>
  <sheetData>
    <row r="1" spans="1:6" ht="38" customHeight="1" x14ac:dyDescent="0.35">
      <c r="A1" s="30" t="s">
        <v>98</v>
      </c>
      <c r="B1" s="3"/>
      <c r="C1" s="3"/>
      <c r="D1" s="3"/>
      <c r="E1" s="3"/>
      <c r="F1" s="3"/>
    </row>
    <row r="2" spans="1:6" ht="26" customHeight="1" x14ac:dyDescent="0.35">
      <c r="A2" s="26" t="s">
        <v>99</v>
      </c>
      <c r="B2" s="3"/>
      <c r="C2" s="3"/>
      <c r="D2" s="3"/>
      <c r="E2" s="3"/>
      <c r="F2" s="3"/>
    </row>
    <row r="3" spans="1:6" ht="30" customHeight="1" x14ac:dyDescent="0.35">
      <c r="A3" s="13"/>
      <c r="B3" s="14"/>
      <c r="C3" s="14"/>
      <c r="D3" s="13"/>
      <c r="E3" s="14"/>
      <c r="F3" s="14"/>
    </row>
    <row r="4" spans="1:6" ht="30" customHeight="1" x14ac:dyDescent="0.35">
      <c r="A4" s="13"/>
      <c r="B4" s="14"/>
      <c r="C4" s="14"/>
      <c r="D4" s="13"/>
      <c r="E4" s="14"/>
      <c r="F4" s="14"/>
    </row>
    <row r="5" spans="1:6" ht="30" customHeight="1" x14ac:dyDescent="0.35">
      <c r="A5" s="13"/>
      <c r="B5" s="14"/>
      <c r="C5" s="14"/>
      <c r="D5" s="13"/>
      <c r="E5" s="14"/>
      <c r="F5" s="14"/>
    </row>
    <row r="6" spans="1:6" ht="30" customHeight="1" x14ac:dyDescent="0.35">
      <c r="A6" s="13"/>
      <c r="B6" s="14"/>
      <c r="C6" s="14"/>
      <c r="D6" s="13"/>
      <c r="E6" s="14"/>
      <c r="F6" s="14"/>
    </row>
    <row r="7" spans="1:6" ht="26" customHeight="1" x14ac:dyDescent="0.35">
      <c r="A7" s="15" t="s">
        <v>91</v>
      </c>
      <c r="B7" s="3"/>
      <c r="C7" s="3"/>
      <c r="D7" s="3"/>
      <c r="E7" s="3"/>
      <c r="F7" s="3"/>
    </row>
    <row r="8" spans="1:6" ht="30" customHeight="1" x14ac:dyDescent="0.35">
      <c r="A8" s="25"/>
      <c r="B8" s="14"/>
      <c r="C8" s="14"/>
      <c r="D8" s="25"/>
      <c r="E8" s="14"/>
      <c r="F8" s="14"/>
    </row>
    <row r="9" spans="1:6" ht="30" customHeight="1" x14ac:dyDescent="0.35">
      <c r="A9" s="25"/>
      <c r="B9" s="14"/>
      <c r="C9" s="14"/>
      <c r="D9" s="25"/>
      <c r="E9" s="14"/>
      <c r="F9" s="14"/>
    </row>
    <row r="10" spans="1:6" ht="30" customHeight="1" x14ac:dyDescent="0.35">
      <c r="A10" s="25"/>
      <c r="B10" s="14"/>
      <c r="C10" s="14"/>
      <c r="D10" s="25"/>
      <c r="E10" s="14"/>
      <c r="F10" s="14"/>
    </row>
    <row r="11" spans="1:6" ht="30" customHeight="1" x14ac:dyDescent="0.35">
      <c r="A11" s="25"/>
      <c r="B11" s="14"/>
      <c r="C11" s="14"/>
      <c r="D11" s="25"/>
      <c r="E11" s="14"/>
      <c r="F11" s="14"/>
    </row>
    <row r="12" spans="1:6" ht="26" customHeight="1" x14ac:dyDescent="0.35">
      <c r="A12" s="27" t="s">
        <v>100</v>
      </c>
      <c r="B12" s="3"/>
      <c r="C12" s="3"/>
      <c r="D12" s="3"/>
      <c r="E12" s="3"/>
      <c r="F12" s="3"/>
    </row>
    <row r="13" spans="1:6" ht="30" customHeight="1" x14ac:dyDescent="0.35">
      <c r="A13" s="19"/>
      <c r="B13" s="14"/>
      <c r="C13" s="14"/>
      <c r="D13" s="19"/>
      <c r="E13" s="14"/>
      <c r="F13" s="14"/>
    </row>
    <row r="14" spans="1:6" ht="30" customHeight="1" x14ac:dyDescent="0.35">
      <c r="A14" s="19"/>
      <c r="B14" s="14"/>
      <c r="C14" s="14"/>
      <c r="D14" s="19"/>
      <c r="E14" s="14"/>
      <c r="F14" s="14"/>
    </row>
    <row r="15" spans="1:6" ht="30" customHeight="1" x14ac:dyDescent="0.35">
      <c r="A15" s="19"/>
      <c r="B15" s="14"/>
      <c r="C15" s="14"/>
      <c r="D15" s="19"/>
      <c r="E15" s="14"/>
      <c r="F15" s="14"/>
    </row>
    <row r="16" spans="1:6" ht="30" customHeight="1" x14ac:dyDescent="0.35">
      <c r="A16" s="19"/>
      <c r="B16" s="14"/>
      <c r="C16" s="14"/>
      <c r="D16" s="19"/>
      <c r="E16" s="14"/>
      <c r="F16" s="14"/>
    </row>
    <row r="17" spans="1:6" ht="26" customHeight="1" x14ac:dyDescent="0.35">
      <c r="A17" s="22" t="s">
        <v>101</v>
      </c>
      <c r="B17" s="3"/>
      <c r="C17" s="3"/>
      <c r="D17" s="3"/>
      <c r="E17" s="3"/>
      <c r="F17" s="3"/>
    </row>
    <row r="18" spans="1:6" ht="30" customHeight="1" x14ac:dyDescent="0.35">
      <c r="A18" s="21"/>
      <c r="B18" s="14"/>
      <c r="C18" s="14"/>
      <c r="D18" s="21"/>
      <c r="E18" s="14"/>
      <c r="F18" s="14"/>
    </row>
    <row r="19" spans="1:6" ht="30" customHeight="1" x14ac:dyDescent="0.35">
      <c r="A19" s="21"/>
      <c r="B19" s="14"/>
      <c r="C19" s="14"/>
      <c r="D19" s="21"/>
      <c r="E19" s="14"/>
      <c r="F19" s="14"/>
    </row>
    <row r="20" spans="1:6" ht="30" customHeight="1" x14ac:dyDescent="0.35">
      <c r="A20" s="21"/>
      <c r="B20" s="14"/>
      <c r="C20" s="14"/>
      <c r="D20" s="21"/>
      <c r="E20" s="14"/>
      <c r="F20" s="14"/>
    </row>
    <row r="21" spans="1:6" ht="30" customHeight="1" x14ac:dyDescent="0.35">
      <c r="A21" s="21"/>
      <c r="B21" s="14"/>
      <c r="C21" s="14"/>
      <c r="D21" s="21"/>
      <c r="E21" s="14"/>
      <c r="F21" s="14"/>
    </row>
    <row r="22" spans="1:6" ht="26" customHeight="1" x14ac:dyDescent="0.35">
      <c r="A22" s="28" t="s">
        <v>102</v>
      </c>
      <c r="B22" s="3"/>
      <c r="C22" s="3"/>
      <c r="D22" s="3"/>
      <c r="E22" s="3"/>
      <c r="F22" s="3"/>
    </row>
    <row r="23" spans="1:6" ht="30" customHeight="1" x14ac:dyDescent="0.35">
      <c r="A23" s="29"/>
      <c r="B23" s="14"/>
      <c r="C23" s="14"/>
      <c r="D23" s="29"/>
      <c r="E23" s="14"/>
      <c r="F23" s="14"/>
    </row>
    <row r="24" spans="1:6" ht="30" customHeight="1" x14ac:dyDescent="0.35">
      <c r="A24" s="29"/>
      <c r="B24" s="14"/>
      <c r="C24" s="14"/>
      <c r="D24" s="29"/>
      <c r="E24" s="14"/>
      <c r="F24" s="14"/>
    </row>
    <row r="25" spans="1:6" ht="30" customHeight="1" x14ac:dyDescent="0.35">
      <c r="A25" s="29"/>
      <c r="B25" s="14"/>
      <c r="C25" s="14"/>
      <c r="D25" s="29"/>
      <c r="E25" s="14"/>
      <c r="F25" s="14"/>
    </row>
    <row r="26" spans="1:6" ht="30" customHeight="1" x14ac:dyDescent="0.35">
      <c r="A26" s="29"/>
      <c r="B26" s="14"/>
      <c r="C26" s="14"/>
      <c r="D26" s="29"/>
      <c r="E26" s="14"/>
      <c r="F26" s="14"/>
    </row>
    <row r="27" spans="1:6" x14ac:dyDescent="0.35">
      <c r="A27" s="4"/>
      <c r="B27" s="4"/>
      <c r="C27" s="4"/>
      <c r="D27" s="4"/>
      <c r="E27" s="4"/>
      <c r="F27" s="4"/>
    </row>
    <row r="28" spans="1:6" ht="26" customHeight="1" x14ac:dyDescent="0.35">
      <c r="A28" s="31" t="s">
        <v>103</v>
      </c>
      <c r="B28" s="14"/>
      <c r="C28" s="14"/>
      <c r="D28" s="14"/>
      <c r="E28" s="14"/>
      <c r="F28" s="14"/>
    </row>
    <row r="29" spans="1:6" ht="55" customHeight="1" x14ac:dyDescent="0.35">
      <c r="A29" s="32" t="s">
        <v>104</v>
      </c>
      <c r="B29" s="32"/>
      <c r="C29" s="32" t="s">
        <v>105</v>
      </c>
      <c r="D29" s="32"/>
      <c r="E29" s="32" t="s">
        <v>23</v>
      </c>
      <c r="F29" s="32"/>
    </row>
  </sheetData>
  <mergeCells count="47">
    <mergeCell ref="A28:F28"/>
    <mergeCell ref="B24:C24"/>
    <mergeCell ref="E24:F24"/>
    <mergeCell ref="B25:C25"/>
    <mergeCell ref="E25:F25"/>
    <mergeCell ref="B26:C26"/>
    <mergeCell ref="E26:F26"/>
    <mergeCell ref="B20:C20"/>
    <mergeCell ref="E20:F20"/>
    <mergeCell ref="B21:C21"/>
    <mergeCell ref="E21:F21"/>
    <mergeCell ref="A22:F22"/>
    <mergeCell ref="B23:C23"/>
    <mergeCell ref="E23:F23"/>
    <mergeCell ref="B16:C16"/>
    <mergeCell ref="E16:F16"/>
    <mergeCell ref="A17:F17"/>
    <mergeCell ref="B18:C18"/>
    <mergeCell ref="E18:F18"/>
    <mergeCell ref="B19:C19"/>
    <mergeCell ref="E19:F19"/>
    <mergeCell ref="A12:F12"/>
    <mergeCell ref="B13:C13"/>
    <mergeCell ref="E13:F13"/>
    <mergeCell ref="B14:C14"/>
    <mergeCell ref="E14:F14"/>
    <mergeCell ref="B15:C15"/>
    <mergeCell ref="E15:F15"/>
    <mergeCell ref="B9:C9"/>
    <mergeCell ref="E9:F9"/>
    <mergeCell ref="B10:C10"/>
    <mergeCell ref="E10:F10"/>
    <mergeCell ref="B11:C11"/>
    <mergeCell ref="E11:F11"/>
    <mergeCell ref="B5:C5"/>
    <mergeCell ref="E5:F5"/>
    <mergeCell ref="B6:C6"/>
    <mergeCell ref="E6:F6"/>
    <mergeCell ref="A7:F7"/>
    <mergeCell ref="B8:C8"/>
    <mergeCell ref="E8:F8"/>
    <mergeCell ref="A1:F1"/>
    <mergeCell ref="A2:F2"/>
    <mergeCell ref="B3:C3"/>
    <mergeCell ref="E3:F3"/>
    <mergeCell ref="B4:C4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6C25-DA07-4CFD-A6D8-3C06ACEDF7FE}">
  <sheetPr>
    <tabColor rgb="FF7030A0"/>
  </sheetPr>
  <dimension ref="A1:G27"/>
  <sheetViews>
    <sheetView rightToLeft="1" workbookViewId="0"/>
  </sheetViews>
  <sheetFormatPr defaultRowHeight="14.5" x14ac:dyDescent="0.35"/>
  <cols>
    <col min="1" max="1" width="14.6328125" customWidth="1"/>
    <col min="2" max="2" width="28.6328125" customWidth="1"/>
    <col min="3" max="3" width="10.6328125" customWidth="1"/>
    <col min="4" max="4" width="24.6328125" customWidth="1"/>
    <col min="5" max="5" width="12.6328125" customWidth="1"/>
    <col min="6" max="6" width="16.6328125" customWidth="1"/>
    <col min="7" max="7" width="18.6328125" customWidth="1"/>
  </cols>
  <sheetData>
    <row r="1" spans="1:7" ht="38" customHeight="1" x14ac:dyDescent="0.35">
      <c r="A1" s="18" t="s">
        <v>106</v>
      </c>
      <c r="B1" s="3"/>
      <c r="C1" s="3"/>
      <c r="D1" s="3"/>
      <c r="E1" s="3"/>
      <c r="F1" s="3"/>
      <c r="G1" s="3"/>
    </row>
    <row r="2" spans="1:7" ht="26" customHeight="1" x14ac:dyDescent="0.35">
      <c r="A2" s="19" t="s">
        <v>107</v>
      </c>
      <c r="B2" s="4" t="s">
        <v>108</v>
      </c>
      <c r="C2" s="4"/>
      <c r="D2" s="4"/>
      <c r="E2" s="4"/>
      <c r="F2" s="4"/>
      <c r="G2" s="4"/>
    </row>
    <row r="3" spans="1:7" ht="26" customHeight="1" x14ac:dyDescent="0.35">
      <c r="A3" s="19" t="s">
        <v>109</v>
      </c>
      <c r="B3" s="4" t="s">
        <v>110</v>
      </c>
      <c r="C3" s="4"/>
      <c r="D3" s="4"/>
      <c r="E3" s="4"/>
      <c r="F3" s="4"/>
      <c r="G3" s="4"/>
    </row>
    <row r="4" spans="1:7" ht="26" customHeight="1" x14ac:dyDescent="0.35">
      <c r="A4" s="19" t="s">
        <v>111</v>
      </c>
      <c r="B4" s="4"/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ht="26" customHeight="1" x14ac:dyDescent="0.35">
      <c r="A6" s="27" t="s">
        <v>90</v>
      </c>
      <c r="B6" s="3"/>
      <c r="C6" s="3"/>
      <c r="D6" s="3"/>
      <c r="E6" s="3"/>
      <c r="F6" s="3"/>
      <c r="G6" s="3"/>
    </row>
    <row r="7" spans="1:7" ht="28" customHeight="1" x14ac:dyDescent="0.35">
      <c r="A7" s="19" t="s">
        <v>112</v>
      </c>
      <c r="B7" s="14"/>
      <c r="C7" s="14"/>
      <c r="D7" s="19" t="s">
        <v>113</v>
      </c>
      <c r="E7" s="4"/>
      <c r="F7" s="4"/>
      <c r="G7" s="4"/>
    </row>
    <row r="8" spans="1:7" ht="28" customHeight="1" x14ac:dyDescent="0.35">
      <c r="A8" s="19" t="s">
        <v>114</v>
      </c>
      <c r="B8" s="14"/>
      <c r="C8" s="14"/>
      <c r="D8" s="19" t="s">
        <v>115</v>
      </c>
      <c r="E8" s="4"/>
      <c r="F8" s="4"/>
      <c r="G8" s="4"/>
    </row>
    <row r="9" spans="1:7" ht="28" customHeight="1" x14ac:dyDescent="0.35">
      <c r="A9" s="19" t="s">
        <v>116</v>
      </c>
      <c r="B9" s="14"/>
      <c r="C9" s="14"/>
      <c r="D9" s="19" t="s">
        <v>117</v>
      </c>
      <c r="E9" s="4"/>
      <c r="F9" s="4"/>
      <c r="G9" s="4"/>
    </row>
    <row r="10" spans="1:7" x14ac:dyDescent="0.35">
      <c r="A10" s="4"/>
      <c r="B10" s="4"/>
      <c r="C10" s="4"/>
      <c r="D10" s="4"/>
      <c r="E10" s="4"/>
      <c r="F10" s="4"/>
      <c r="G10" s="4"/>
    </row>
    <row r="11" spans="1:7" ht="26" customHeight="1" x14ac:dyDescent="0.35">
      <c r="A11" s="27" t="s">
        <v>118</v>
      </c>
      <c r="B11" s="3"/>
      <c r="C11" s="3"/>
      <c r="D11" s="3"/>
      <c r="E11" s="3"/>
      <c r="F11" s="3"/>
      <c r="G11" s="3"/>
    </row>
    <row r="12" spans="1:7" s="1" customFormat="1" x14ac:dyDescent="0.35">
      <c r="A12" s="33" t="s">
        <v>5</v>
      </c>
      <c r="B12" s="33" t="s">
        <v>8</v>
      </c>
      <c r="C12" s="33" t="s">
        <v>119</v>
      </c>
      <c r="D12" s="33" t="s">
        <v>120</v>
      </c>
      <c r="E12" s="33" t="s">
        <v>121</v>
      </c>
      <c r="F12" s="33" t="s">
        <v>122</v>
      </c>
      <c r="G12" s="33" t="s">
        <v>67</v>
      </c>
    </row>
    <row r="13" spans="1:7" ht="26" customHeight="1" x14ac:dyDescent="0.35">
      <c r="A13" s="9"/>
      <c r="B13" s="9" t="s">
        <v>123</v>
      </c>
      <c r="C13" s="9">
        <v>1</v>
      </c>
      <c r="D13" s="9"/>
      <c r="E13" s="9"/>
      <c r="F13" s="9" t="str">
        <f>IF(D13="","",D13*C13-E13)</f>
        <v/>
      </c>
      <c r="G13" s="9"/>
    </row>
    <row r="14" spans="1:7" ht="26" customHeight="1" x14ac:dyDescent="0.35">
      <c r="A14" s="34"/>
      <c r="B14" s="34" t="s">
        <v>124</v>
      </c>
      <c r="C14" s="34">
        <v>1</v>
      </c>
      <c r="D14" s="34"/>
      <c r="E14" s="34"/>
      <c r="F14" s="34" t="str">
        <f>IF(D14="","",D14*C14-E14)</f>
        <v/>
      </c>
      <c r="G14" s="34"/>
    </row>
    <row r="15" spans="1:7" ht="26" customHeight="1" x14ac:dyDescent="0.35">
      <c r="A15" s="9"/>
      <c r="B15" s="9" t="s">
        <v>125</v>
      </c>
      <c r="C15" s="9">
        <v>1</v>
      </c>
      <c r="D15" s="9"/>
      <c r="E15" s="9"/>
      <c r="F15" s="9" t="str">
        <f>IF(D15="","",D15*C15-E15)</f>
        <v/>
      </c>
      <c r="G15" s="9"/>
    </row>
    <row r="16" spans="1:7" ht="26" customHeight="1" x14ac:dyDescent="0.35">
      <c r="A16" s="34"/>
      <c r="B16" s="34" t="s">
        <v>126</v>
      </c>
      <c r="C16" s="34">
        <v>1</v>
      </c>
      <c r="D16" s="34"/>
      <c r="E16" s="34"/>
      <c r="F16" s="34" t="str">
        <f>IF(D16="","",D16*C16-E16)</f>
        <v/>
      </c>
      <c r="G16" s="34"/>
    </row>
    <row r="17" spans="1:7" ht="26" customHeight="1" x14ac:dyDescent="0.35">
      <c r="A17" s="9"/>
      <c r="B17" s="9" t="s">
        <v>127</v>
      </c>
      <c r="C17" s="9">
        <v>1</v>
      </c>
      <c r="D17" s="9"/>
      <c r="E17" s="9"/>
      <c r="F17" s="9" t="str">
        <f>IF(D17="","",D17*C17-E17)</f>
        <v/>
      </c>
      <c r="G17" s="9"/>
    </row>
    <row r="18" spans="1:7" ht="26" customHeight="1" x14ac:dyDescent="0.35">
      <c r="A18" s="34"/>
      <c r="B18" s="34" t="s">
        <v>127</v>
      </c>
      <c r="C18" s="34">
        <v>1</v>
      </c>
      <c r="D18" s="34"/>
      <c r="E18" s="34"/>
      <c r="F18" s="34" t="str">
        <f>IF(D18="","",D18*C18-E18)</f>
        <v/>
      </c>
      <c r="G18" s="34"/>
    </row>
    <row r="19" spans="1:7" ht="26" customHeight="1" x14ac:dyDescent="0.35">
      <c r="A19" s="35"/>
      <c r="B19" s="35"/>
      <c r="C19" s="35"/>
      <c r="D19" s="36" t="s">
        <v>128</v>
      </c>
      <c r="E19" s="35"/>
      <c r="F19" s="36">
        <f>SUM(F13:F18)</f>
        <v>0</v>
      </c>
      <c r="G19" s="4"/>
    </row>
    <row r="20" spans="1:7" ht="26" customHeight="1" x14ac:dyDescent="0.35">
      <c r="A20" s="35"/>
      <c r="B20" s="35"/>
      <c r="C20" s="35"/>
      <c r="D20" s="36" t="s">
        <v>129</v>
      </c>
      <c r="E20" s="35"/>
      <c r="F20" s="35">
        <f>F19*0.14</f>
        <v>0</v>
      </c>
      <c r="G20" s="4"/>
    </row>
    <row r="21" spans="1:7" ht="26" customHeight="1" x14ac:dyDescent="0.35">
      <c r="A21" s="35"/>
      <c r="B21" s="35"/>
      <c r="C21" s="35"/>
      <c r="D21" s="36" t="s">
        <v>130</v>
      </c>
      <c r="E21" s="35"/>
      <c r="F21" s="35">
        <f>F19*0.08</f>
        <v>0</v>
      </c>
      <c r="G21" s="4"/>
    </row>
    <row r="22" spans="1:7" ht="26" customHeight="1" x14ac:dyDescent="0.35">
      <c r="A22" s="37"/>
      <c r="B22" s="37"/>
      <c r="C22" s="37"/>
      <c r="D22" s="37" t="s">
        <v>131</v>
      </c>
      <c r="E22" s="37"/>
      <c r="F22" s="37">
        <f>F19+F20+F21</f>
        <v>0</v>
      </c>
      <c r="G22" s="4"/>
    </row>
    <row r="23" spans="1:7" ht="26" customHeight="1" x14ac:dyDescent="0.35">
      <c r="A23" s="9"/>
      <c r="B23" s="9"/>
      <c r="C23" s="9"/>
      <c r="D23" s="38" t="s">
        <v>132</v>
      </c>
      <c r="E23" s="9"/>
      <c r="F23" s="9"/>
      <c r="G23" s="4"/>
    </row>
    <row r="24" spans="1:7" ht="26" customHeight="1" x14ac:dyDescent="0.35">
      <c r="A24" s="24"/>
      <c r="B24" s="24"/>
      <c r="C24" s="24"/>
      <c r="D24" s="24" t="s">
        <v>133</v>
      </c>
      <c r="E24" s="24"/>
      <c r="F24" s="24">
        <f>F22-F23</f>
        <v>0</v>
      </c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ht="26" customHeight="1" x14ac:dyDescent="0.35">
      <c r="A26" s="35" t="s">
        <v>134</v>
      </c>
      <c r="B26" s="35" t="s">
        <v>135</v>
      </c>
      <c r="C26" s="35"/>
      <c r="D26" s="35" t="s">
        <v>50</v>
      </c>
      <c r="E26" s="35"/>
      <c r="F26" s="35"/>
      <c r="G26" s="35"/>
    </row>
    <row r="27" spans="1:7" ht="55" customHeight="1" x14ac:dyDescent="0.35">
      <c r="A27" s="37" t="s">
        <v>104</v>
      </c>
      <c r="B27" s="37"/>
      <c r="C27" s="37"/>
      <c r="D27" s="37" t="s">
        <v>136</v>
      </c>
      <c r="E27" s="37"/>
      <c r="F27" s="37" t="s">
        <v>97</v>
      </c>
      <c r="G27" s="37"/>
    </row>
  </sheetData>
  <mergeCells count="6">
    <mergeCell ref="A1:G1"/>
    <mergeCell ref="A6:G6"/>
    <mergeCell ref="B7:C7"/>
    <mergeCell ref="B8:C8"/>
    <mergeCell ref="B9:C9"/>
    <mergeCell ref="A11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DBFC-59C9-4905-B9D5-663DA7996FF5}">
  <sheetPr>
    <tabColor rgb="FF007033"/>
  </sheetPr>
  <dimension ref="A1:H39"/>
  <sheetViews>
    <sheetView rightToLeft="1" workbookViewId="0"/>
  </sheetViews>
  <sheetFormatPr defaultRowHeight="14.5" x14ac:dyDescent="0.35"/>
  <cols>
    <col min="1" max="1" width="12.6328125" customWidth="1"/>
    <col min="2" max="2" width="14.6328125" customWidth="1"/>
    <col min="3" max="3" width="10.6328125" customWidth="1"/>
    <col min="4" max="4" width="20.6328125" customWidth="1"/>
    <col min="5" max="5" width="24.6328125" customWidth="1"/>
    <col min="6" max="6" width="22.6328125" customWidth="1"/>
    <col min="7" max="7" width="14.6328125" customWidth="1"/>
    <col min="8" max="8" width="22.6328125" customWidth="1"/>
  </cols>
  <sheetData>
    <row r="1" spans="1:8" ht="38" customHeight="1" x14ac:dyDescent="0.35">
      <c r="A1" s="30" t="s">
        <v>137</v>
      </c>
      <c r="B1" s="3"/>
      <c r="C1" s="3"/>
      <c r="D1" s="3"/>
      <c r="E1" s="3"/>
      <c r="F1" s="3"/>
      <c r="G1" s="3"/>
      <c r="H1" s="3"/>
    </row>
    <row r="2" spans="1:8" ht="28" customHeight="1" x14ac:dyDescent="0.35">
      <c r="A2" s="13" t="s">
        <v>23</v>
      </c>
      <c r="B2" s="4"/>
      <c r="C2" s="13" t="s">
        <v>138</v>
      </c>
      <c r="D2" s="4" t="s">
        <v>139</v>
      </c>
      <c r="E2" s="13" t="s">
        <v>140</v>
      </c>
      <c r="F2" s="4"/>
      <c r="G2" s="4"/>
      <c r="H2" s="4"/>
    </row>
    <row r="3" spans="1:8" s="1" customFormat="1" ht="30" customHeight="1" x14ac:dyDescent="0.35">
      <c r="A3" s="39" t="s">
        <v>141</v>
      </c>
      <c r="B3" s="39" t="s">
        <v>142</v>
      </c>
      <c r="C3" s="39" t="s">
        <v>143</v>
      </c>
      <c r="D3" s="39" t="s">
        <v>144</v>
      </c>
      <c r="E3" s="39" t="s">
        <v>145</v>
      </c>
      <c r="F3" s="39" t="s">
        <v>146</v>
      </c>
      <c r="G3" s="39" t="s">
        <v>147</v>
      </c>
      <c r="H3" s="39" t="s">
        <v>15</v>
      </c>
    </row>
    <row r="4" spans="1:8" ht="24" customHeight="1" x14ac:dyDescent="0.35">
      <c r="A4" s="9">
        <v>101</v>
      </c>
      <c r="B4" s="9" t="s">
        <v>148</v>
      </c>
      <c r="C4" s="9"/>
      <c r="D4" s="9" t="s">
        <v>149</v>
      </c>
      <c r="E4" s="9" t="s">
        <v>150</v>
      </c>
      <c r="F4" s="9"/>
      <c r="G4" s="9"/>
      <c r="H4" s="9"/>
    </row>
    <row r="5" spans="1:8" ht="24" customHeight="1" x14ac:dyDescent="0.35">
      <c r="A5" s="40">
        <v>102</v>
      </c>
      <c r="B5" s="40" t="s">
        <v>148</v>
      </c>
      <c r="C5" s="40"/>
      <c r="D5" s="40" t="s">
        <v>149</v>
      </c>
      <c r="E5" s="40" t="s">
        <v>150</v>
      </c>
      <c r="F5" s="40"/>
      <c r="G5" s="40"/>
      <c r="H5" s="40"/>
    </row>
    <row r="6" spans="1:8" ht="24" customHeight="1" x14ac:dyDescent="0.35">
      <c r="A6" s="9">
        <v>103</v>
      </c>
      <c r="B6" s="9" t="s">
        <v>151</v>
      </c>
      <c r="C6" s="9"/>
      <c r="D6" s="9" t="s">
        <v>149</v>
      </c>
      <c r="E6" s="9" t="s">
        <v>150</v>
      </c>
      <c r="F6" s="9"/>
      <c r="G6" s="9"/>
      <c r="H6" s="9"/>
    </row>
    <row r="7" spans="1:8" ht="24" customHeight="1" x14ac:dyDescent="0.35">
      <c r="A7" s="40">
        <v>104</v>
      </c>
      <c r="B7" s="40" t="s">
        <v>151</v>
      </c>
      <c r="C7" s="40"/>
      <c r="D7" s="40" t="s">
        <v>149</v>
      </c>
      <c r="E7" s="40" t="s">
        <v>150</v>
      </c>
      <c r="F7" s="40"/>
      <c r="G7" s="40"/>
      <c r="H7" s="40"/>
    </row>
    <row r="8" spans="1:8" ht="24" customHeight="1" x14ac:dyDescent="0.35">
      <c r="A8" s="9">
        <v>105</v>
      </c>
      <c r="B8" s="9" t="s">
        <v>151</v>
      </c>
      <c r="C8" s="9"/>
      <c r="D8" s="9" t="s">
        <v>149</v>
      </c>
      <c r="E8" s="9" t="s">
        <v>150</v>
      </c>
      <c r="F8" s="9"/>
      <c r="G8" s="9"/>
      <c r="H8" s="9"/>
    </row>
    <row r="9" spans="1:8" ht="24" customHeight="1" x14ac:dyDescent="0.35">
      <c r="A9" s="40">
        <v>106</v>
      </c>
      <c r="B9" s="40" t="s">
        <v>152</v>
      </c>
      <c r="C9" s="40"/>
      <c r="D9" s="40" t="s">
        <v>149</v>
      </c>
      <c r="E9" s="40" t="s">
        <v>150</v>
      </c>
      <c r="F9" s="40"/>
      <c r="G9" s="40"/>
      <c r="H9" s="40"/>
    </row>
    <row r="10" spans="1:8" ht="24" customHeight="1" x14ac:dyDescent="0.35">
      <c r="A10" s="9">
        <v>107</v>
      </c>
      <c r="B10" s="9" t="s">
        <v>152</v>
      </c>
      <c r="C10" s="9"/>
      <c r="D10" s="9" t="s">
        <v>149</v>
      </c>
      <c r="E10" s="9" t="s">
        <v>150</v>
      </c>
      <c r="F10" s="9"/>
      <c r="G10" s="9"/>
      <c r="H10" s="9"/>
    </row>
    <row r="11" spans="1:8" ht="24" customHeight="1" x14ac:dyDescent="0.35">
      <c r="A11" s="40">
        <v>108</v>
      </c>
      <c r="B11" s="40" t="s">
        <v>148</v>
      </c>
      <c r="C11" s="40"/>
      <c r="D11" s="40" t="s">
        <v>149</v>
      </c>
      <c r="E11" s="40" t="s">
        <v>150</v>
      </c>
      <c r="F11" s="40"/>
      <c r="G11" s="40"/>
      <c r="H11" s="40"/>
    </row>
    <row r="12" spans="1:8" ht="24" customHeight="1" x14ac:dyDescent="0.35">
      <c r="A12" s="9">
        <v>109</v>
      </c>
      <c r="B12" s="9" t="s">
        <v>151</v>
      </c>
      <c r="C12" s="9"/>
      <c r="D12" s="9" t="s">
        <v>149</v>
      </c>
      <c r="E12" s="9" t="s">
        <v>150</v>
      </c>
      <c r="F12" s="9"/>
      <c r="G12" s="9"/>
      <c r="H12" s="9"/>
    </row>
    <row r="13" spans="1:8" ht="24" customHeight="1" x14ac:dyDescent="0.35">
      <c r="A13" s="40">
        <v>110</v>
      </c>
      <c r="B13" s="40" t="s">
        <v>151</v>
      </c>
      <c r="C13" s="40"/>
      <c r="D13" s="40" t="s">
        <v>149</v>
      </c>
      <c r="E13" s="40" t="s">
        <v>150</v>
      </c>
      <c r="F13" s="40"/>
      <c r="G13" s="40"/>
      <c r="H13" s="40"/>
    </row>
    <row r="14" spans="1:8" ht="24" customHeight="1" x14ac:dyDescent="0.35">
      <c r="A14" s="9">
        <v>111</v>
      </c>
      <c r="B14" s="9" t="s">
        <v>148</v>
      </c>
      <c r="C14" s="9"/>
      <c r="D14" s="9" t="s">
        <v>149</v>
      </c>
      <c r="E14" s="9" t="s">
        <v>150</v>
      </c>
      <c r="F14" s="9"/>
      <c r="G14" s="9"/>
      <c r="H14" s="9"/>
    </row>
    <row r="15" spans="1:8" ht="24" customHeight="1" x14ac:dyDescent="0.35">
      <c r="A15" s="40">
        <v>112</v>
      </c>
      <c r="B15" s="40" t="s">
        <v>152</v>
      </c>
      <c r="C15" s="40"/>
      <c r="D15" s="40" t="s">
        <v>149</v>
      </c>
      <c r="E15" s="40" t="s">
        <v>150</v>
      </c>
      <c r="F15" s="40"/>
      <c r="G15" s="40"/>
      <c r="H15" s="40"/>
    </row>
    <row r="16" spans="1:8" ht="24" customHeight="1" x14ac:dyDescent="0.35">
      <c r="A16" s="9">
        <v>113</v>
      </c>
      <c r="B16" s="9" t="s">
        <v>151</v>
      </c>
      <c r="C16" s="9"/>
      <c r="D16" s="9" t="s">
        <v>149</v>
      </c>
      <c r="E16" s="9" t="s">
        <v>150</v>
      </c>
      <c r="F16" s="9"/>
      <c r="G16" s="9"/>
      <c r="H16" s="9"/>
    </row>
    <row r="17" spans="1:8" ht="24" customHeight="1" x14ac:dyDescent="0.35">
      <c r="A17" s="40">
        <v>114</v>
      </c>
      <c r="B17" s="40" t="s">
        <v>151</v>
      </c>
      <c r="C17" s="40"/>
      <c r="D17" s="40" t="s">
        <v>149</v>
      </c>
      <c r="E17" s="40" t="s">
        <v>150</v>
      </c>
      <c r="F17" s="40"/>
      <c r="G17" s="40"/>
      <c r="H17" s="40"/>
    </row>
    <row r="18" spans="1:8" ht="24" customHeight="1" x14ac:dyDescent="0.35">
      <c r="A18" s="9">
        <v>115</v>
      </c>
      <c r="B18" s="9" t="s">
        <v>148</v>
      </c>
      <c r="C18" s="9"/>
      <c r="D18" s="9" t="s">
        <v>149</v>
      </c>
      <c r="E18" s="9" t="s">
        <v>150</v>
      </c>
      <c r="F18" s="9"/>
      <c r="G18" s="9"/>
      <c r="H18" s="9"/>
    </row>
    <row r="19" spans="1:8" ht="24" customHeight="1" x14ac:dyDescent="0.35">
      <c r="A19" s="40">
        <v>116</v>
      </c>
      <c r="B19" s="40" t="s">
        <v>153</v>
      </c>
      <c r="C19" s="40"/>
      <c r="D19" s="40" t="s">
        <v>149</v>
      </c>
      <c r="E19" s="40" t="s">
        <v>150</v>
      </c>
      <c r="F19" s="40"/>
      <c r="G19" s="40"/>
      <c r="H19" s="40"/>
    </row>
    <row r="20" spans="1:8" ht="24" customHeight="1" x14ac:dyDescent="0.35">
      <c r="A20" s="9">
        <v>117</v>
      </c>
      <c r="B20" s="9" t="s">
        <v>153</v>
      </c>
      <c r="C20" s="9"/>
      <c r="D20" s="9" t="s">
        <v>149</v>
      </c>
      <c r="E20" s="9" t="s">
        <v>150</v>
      </c>
      <c r="F20" s="9"/>
      <c r="G20" s="9"/>
      <c r="H20" s="9"/>
    </row>
    <row r="21" spans="1:8" ht="24" customHeight="1" x14ac:dyDescent="0.35">
      <c r="A21" s="40">
        <v>118</v>
      </c>
      <c r="B21" s="40" t="s">
        <v>152</v>
      </c>
      <c r="C21" s="40"/>
      <c r="D21" s="40" t="s">
        <v>149</v>
      </c>
      <c r="E21" s="40" t="s">
        <v>150</v>
      </c>
      <c r="F21" s="40"/>
      <c r="G21" s="40"/>
      <c r="H21" s="40"/>
    </row>
    <row r="22" spans="1:8" ht="24" customHeight="1" x14ac:dyDescent="0.35">
      <c r="A22" s="9">
        <v>119</v>
      </c>
      <c r="B22" s="9" t="s">
        <v>151</v>
      </c>
      <c r="C22" s="9"/>
      <c r="D22" s="9" t="s">
        <v>149</v>
      </c>
      <c r="E22" s="9" t="s">
        <v>150</v>
      </c>
      <c r="F22" s="9"/>
      <c r="G22" s="9"/>
      <c r="H22" s="9"/>
    </row>
    <row r="23" spans="1:8" ht="24" customHeight="1" x14ac:dyDescent="0.35">
      <c r="A23" s="40">
        <v>120</v>
      </c>
      <c r="B23" s="40" t="s">
        <v>148</v>
      </c>
      <c r="C23" s="40"/>
      <c r="D23" s="40" t="s">
        <v>149</v>
      </c>
      <c r="E23" s="40" t="s">
        <v>150</v>
      </c>
      <c r="F23" s="40"/>
      <c r="G23" s="40"/>
      <c r="H23" s="40"/>
    </row>
    <row r="24" spans="1:8" ht="24" customHeight="1" x14ac:dyDescent="0.35">
      <c r="A24" s="9">
        <v>121</v>
      </c>
      <c r="B24" s="9" t="s">
        <v>148</v>
      </c>
      <c r="C24" s="9"/>
      <c r="D24" s="9" t="s">
        <v>149</v>
      </c>
      <c r="E24" s="9" t="s">
        <v>150</v>
      </c>
      <c r="F24" s="9"/>
      <c r="G24" s="9"/>
      <c r="H24" s="9"/>
    </row>
    <row r="25" spans="1:8" ht="24" customHeight="1" x14ac:dyDescent="0.35">
      <c r="A25" s="40">
        <v>122</v>
      </c>
      <c r="B25" s="40" t="s">
        <v>151</v>
      </c>
      <c r="C25" s="40"/>
      <c r="D25" s="40" t="s">
        <v>149</v>
      </c>
      <c r="E25" s="40" t="s">
        <v>150</v>
      </c>
      <c r="F25" s="40"/>
      <c r="G25" s="40"/>
      <c r="H25" s="40"/>
    </row>
    <row r="26" spans="1:8" ht="24" customHeight="1" x14ac:dyDescent="0.35">
      <c r="A26" s="9">
        <v>123</v>
      </c>
      <c r="B26" s="9" t="s">
        <v>152</v>
      </c>
      <c r="C26" s="9"/>
      <c r="D26" s="9" t="s">
        <v>149</v>
      </c>
      <c r="E26" s="9" t="s">
        <v>150</v>
      </c>
      <c r="F26" s="9"/>
      <c r="G26" s="9"/>
      <c r="H26" s="9"/>
    </row>
    <row r="27" spans="1:8" ht="24" customHeight="1" x14ac:dyDescent="0.35">
      <c r="A27" s="40">
        <v>124</v>
      </c>
      <c r="B27" s="40" t="s">
        <v>148</v>
      </c>
      <c r="C27" s="40"/>
      <c r="D27" s="40" t="s">
        <v>149</v>
      </c>
      <c r="E27" s="40" t="s">
        <v>150</v>
      </c>
      <c r="F27" s="40"/>
      <c r="G27" s="40"/>
      <c r="H27" s="40"/>
    </row>
    <row r="28" spans="1:8" ht="24" customHeight="1" x14ac:dyDescent="0.35">
      <c r="A28" s="9">
        <v>125</v>
      </c>
      <c r="B28" s="9" t="s">
        <v>151</v>
      </c>
      <c r="C28" s="9"/>
      <c r="D28" s="9" t="s">
        <v>149</v>
      </c>
      <c r="E28" s="9" t="s">
        <v>150</v>
      </c>
      <c r="F28" s="9"/>
      <c r="G28" s="9"/>
      <c r="H28" s="9"/>
    </row>
    <row r="29" spans="1:8" x14ac:dyDescent="0.35">
      <c r="A29" s="4"/>
      <c r="B29" s="4"/>
      <c r="C29" s="4"/>
      <c r="D29" s="4"/>
      <c r="E29" s="4"/>
      <c r="F29" s="4"/>
      <c r="G29" s="4"/>
      <c r="H29" s="4"/>
    </row>
    <row r="30" spans="1:8" ht="26" customHeight="1" x14ac:dyDescent="0.35">
      <c r="A30" s="26" t="s">
        <v>154</v>
      </c>
      <c r="B30" s="3"/>
      <c r="C30" s="3"/>
      <c r="D30" s="3"/>
      <c r="E30" s="4"/>
      <c r="F30" s="4"/>
      <c r="G30" s="4"/>
      <c r="H30" s="4"/>
    </row>
    <row r="31" spans="1:8" s="1" customFormat="1" x14ac:dyDescent="0.35">
      <c r="A31" s="39" t="s">
        <v>155</v>
      </c>
      <c r="B31" s="39" t="s">
        <v>156</v>
      </c>
      <c r="C31" s="39" t="s">
        <v>80</v>
      </c>
      <c r="D31" s="39" t="s">
        <v>157</v>
      </c>
      <c r="E31" s="41"/>
      <c r="F31" s="41"/>
      <c r="G31" s="41"/>
      <c r="H31" s="41"/>
    </row>
    <row r="32" spans="1:8" ht="24" customHeight="1" x14ac:dyDescent="0.35">
      <c r="A32" s="40" t="s">
        <v>158</v>
      </c>
      <c r="B32" s="40" t="s">
        <v>159</v>
      </c>
      <c r="C32" s="40">
        <f>COUNTIF(D4:D28,"*C*")</f>
        <v>25</v>
      </c>
      <c r="D32" s="40" t="str">
        <f>ROUND(C32/25*100,1)&amp;"%"</f>
        <v>100%</v>
      </c>
      <c r="E32" s="4"/>
      <c r="F32" s="4"/>
      <c r="G32" s="4"/>
      <c r="H32" s="4"/>
    </row>
    <row r="33" spans="1:8" ht="24" customHeight="1" x14ac:dyDescent="0.35">
      <c r="A33" s="9" t="s">
        <v>160</v>
      </c>
      <c r="B33" s="9" t="s">
        <v>161</v>
      </c>
      <c r="C33" s="9">
        <f>COUNTIF(D4:D28,"*U*")</f>
        <v>25</v>
      </c>
      <c r="D33" s="9" t="str">
        <f>ROUND(C33/25*100,1)&amp;"%"</f>
        <v>100%</v>
      </c>
      <c r="E33" s="4"/>
      <c r="F33" s="4"/>
      <c r="G33" s="4"/>
      <c r="H33" s="4"/>
    </row>
    <row r="34" spans="1:8" ht="24" customHeight="1" x14ac:dyDescent="0.35">
      <c r="A34" s="40" t="s">
        <v>162</v>
      </c>
      <c r="B34" s="40" t="s">
        <v>163</v>
      </c>
      <c r="C34" s="40">
        <f>COUNTIF(D4:D28,"*D*")</f>
        <v>25</v>
      </c>
      <c r="D34" s="40" t="str">
        <f>ROUND(C34/25*100,1)&amp;"%"</f>
        <v>100%</v>
      </c>
      <c r="E34" s="4"/>
      <c r="F34" s="4"/>
      <c r="G34" s="4"/>
      <c r="H34" s="4"/>
    </row>
    <row r="35" spans="1:8" ht="24" customHeight="1" x14ac:dyDescent="0.35">
      <c r="A35" s="9" t="s">
        <v>164</v>
      </c>
      <c r="B35" s="9" t="s">
        <v>165</v>
      </c>
      <c r="C35" s="9">
        <f>COUNTIF(D4:D28,"*OCC*")</f>
        <v>0</v>
      </c>
      <c r="D35" s="9" t="str">
        <f>ROUND(C35/25*100,1)&amp;"%"</f>
        <v>0%</v>
      </c>
      <c r="E35" s="4"/>
      <c r="F35" s="4"/>
      <c r="G35" s="4"/>
      <c r="H35" s="4"/>
    </row>
    <row r="36" spans="1:8" ht="24" customHeight="1" x14ac:dyDescent="0.35">
      <c r="A36" s="40" t="s">
        <v>166</v>
      </c>
      <c r="B36" s="40" t="s">
        <v>167</v>
      </c>
      <c r="C36" s="40">
        <f>COUNTIF(D4:D28,"*VAC*")</f>
        <v>0</v>
      </c>
      <c r="D36" s="40" t="str">
        <f>ROUND(C36/25*100,1)&amp;"%"</f>
        <v>0%</v>
      </c>
      <c r="E36" s="4"/>
      <c r="F36" s="4"/>
      <c r="G36" s="4"/>
      <c r="H36" s="4"/>
    </row>
    <row r="37" spans="1:8" ht="24" customHeight="1" x14ac:dyDescent="0.35">
      <c r="A37" s="9" t="s">
        <v>168</v>
      </c>
      <c r="B37" s="9" t="s">
        <v>169</v>
      </c>
      <c r="C37" s="9">
        <f>COUNTIF(D4:D28,"*CO*")</f>
        <v>0</v>
      </c>
      <c r="D37" s="9" t="str">
        <f>ROUND(C37/25*100,1)&amp;"%"</f>
        <v>0%</v>
      </c>
      <c r="E37" s="4"/>
      <c r="F37" s="4"/>
      <c r="G37" s="4"/>
      <c r="H37" s="4"/>
    </row>
    <row r="38" spans="1:8" ht="24" customHeight="1" x14ac:dyDescent="0.35">
      <c r="A38" s="40" t="s">
        <v>170</v>
      </c>
      <c r="B38" s="40" t="s">
        <v>171</v>
      </c>
      <c r="C38" s="40">
        <f>COUNTIF(D4:D28,"*OOO*")</f>
        <v>0</v>
      </c>
      <c r="D38" s="40" t="str">
        <f>ROUND(C38/25*100,1)&amp;"%"</f>
        <v>0%</v>
      </c>
      <c r="E38" s="4"/>
      <c r="F38" s="4"/>
      <c r="G38" s="4"/>
      <c r="H38" s="4"/>
    </row>
    <row r="39" spans="1:8" ht="28" customHeight="1" x14ac:dyDescent="0.35">
      <c r="A39" s="24" t="s">
        <v>172</v>
      </c>
      <c r="B39" s="24" t="s">
        <v>173</v>
      </c>
      <c r="C39" s="24" t="e">
        <f>ROUND(COUNTIF(E4:E28,"*OCC*")/(25-COUNTIF(E4:E28,"*OOO*"))*100,1)&amp;"%"</f>
        <v>#DIV/0!</v>
      </c>
      <c r="D39" s="24"/>
      <c r="E39" s="4"/>
      <c r="F39" s="4"/>
      <c r="G39" s="4"/>
      <c r="H39" s="4"/>
    </row>
  </sheetData>
  <mergeCells count="2">
    <mergeCell ref="A1:H1"/>
    <mergeCell ref="A30:D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3B31-3C39-4322-9A9D-FFEF8BAED744}">
  <sheetPr>
    <tabColor rgb="FF9C0006"/>
  </sheetPr>
  <dimension ref="A1:H36"/>
  <sheetViews>
    <sheetView rightToLeft="1" workbookViewId="0"/>
  </sheetViews>
  <sheetFormatPr defaultRowHeight="14.5" x14ac:dyDescent="0.35"/>
  <cols>
    <col min="1" max="1" width="22.6328125" customWidth="1"/>
    <col min="2" max="2" width="12.6328125" customWidth="1"/>
    <col min="3" max="3" width="18.6328125" customWidth="1"/>
    <col min="4" max="4" width="14.6328125" customWidth="1"/>
    <col min="5" max="5" width="18.6328125" customWidth="1"/>
    <col min="6" max="6" width="16.6328125" customWidth="1"/>
    <col min="7" max="7" width="12.6328125" customWidth="1"/>
    <col min="8" max="8" width="14.6328125" customWidth="1"/>
  </cols>
  <sheetData>
    <row r="1" spans="1:8" ht="38" customHeight="1" x14ac:dyDescent="0.35">
      <c r="A1" s="20" t="s">
        <v>174</v>
      </c>
      <c r="B1" s="3"/>
      <c r="C1" s="3"/>
      <c r="D1" s="3"/>
      <c r="E1" s="3"/>
      <c r="F1" s="3"/>
      <c r="G1" s="3"/>
      <c r="H1" s="3"/>
    </row>
    <row r="2" spans="1:8" ht="26" customHeight="1" x14ac:dyDescent="0.35">
      <c r="A2" s="22" t="s">
        <v>175</v>
      </c>
      <c r="B2" s="3"/>
      <c r="C2" s="3"/>
      <c r="D2" s="3"/>
      <c r="E2" s="3"/>
      <c r="F2" s="3"/>
      <c r="G2" s="3"/>
      <c r="H2" s="3"/>
    </row>
    <row r="3" spans="1:8" s="1" customFormat="1" ht="30" customHeight="1" x14ac:dyDescent="0.35">
      <c r="A3" s="42" t="s">
        <v>176</v>
      </c>
      <c r="B3" s="42" t="s">
        <v>177</v>
      </c>
      <c r="C3" s="42" t="s">
        <v>178</v>
      </c>
      <c r="D3" s="42" t="s">
        <v>179</v>
      </c>
      <c r="E3" s="42" t="s">
        <v>180</v>
      </c>
      <c r="F3" s="42" t="s">
        <v>181</v>
      </c>
      <c r="G3" s="42" t="s">
        <v>182</v>
      </c>
      <c r="H3" s="42" t="s">
        <v>14</v>
      </c>
    </row>
    <row r="4" spans="1:8" ht="26" customHeight="1" x14ac:dyDescent="0.35">
      <c r="A4" s="43" t="s">
        <v>183</v>
      </c>
      <c r="B4" s="43" t="s">
        <v>184</v>
      </c>
      <c r="C4" s="43"/>
      <c r="D4" s="43"/>
      <c r="E4" s="43"/>
      <c r="F4" s="43"/>
      <c r="G4" s="43">
        <f>C4+D4-E4-F4</f>
        <v>0</v>
      </c>
      <c r="H4" s="43" t="str">
        <f>IF(G4&lt;30,"تنبيه: طلب شراء","مقبول")</f>
        <v>تنبيه: طلب شراء</v>
      </c>
    </row>
    <row r="5" spans="1:8" ht="26" customHeight="1" x14ac:dyDescent="0.35">
      <c r="A5" s="9" t="s">
        <v>185</v>
      </c>
      <c r="B5" s="9" t="s">
        <v>184</v>
      </c>
      <c r="C5" s="9"/>
      <c r="D5" s="9"/>
      <c r="E5" s="9"/>
      <c r="F5" s="9"/>
      <c r="G5" s="9">
        <f>C5+D5-E5-F5</f>
        <v>0</v>
      </c>
      <c r="H5" s="9" t="str">
        <f>IF(G5&lt;20,"تنبيه: طلب شراء","مقبول")</f>
        <v>تنبيه: طلب شراء</v>
      </c>
    </row>
    <row r="6" spans="1:8" ht="26" customHeight="1" x14ac:dyDescent="0.35">
      <c r="A6" s="43" t="s">
        <v>186</v>
      </c>
      <c r="B6" s="43" t="s">
        <v>184</v>
      </c>
      <c r="C6" s="43"/>
      <c r="D6" s="43"/>
      <c r="E6" s="43"/>
      <c r="F6" s="43"/>
      <c r="G6" s="43">
        <f>C6+D6-E6-F6</f>
        <v>0</v>
      </c>
      <c r="H6" s="43" t="str">
        <f>IF(G6&lt;32,"تنبيه: طلب شراء","مقبول")</f>
        <v>تنبيه: طلب شراء</v>
      </c>
    </row>
    <row r="7" spans="1:8" ht="26" customHeight="1" x14ac:dyDescent="0.35">
      <c r="A7" s="9" t="s">
        <v>187</v>
      </c>
      <c r="B7" s="9" t="s">
        <v>184</v>
      </c>
      <c r="C7" s="9"/>
      <c r="D7" s="9"/>
      <c r="E7" s="9"/>
      <c r="F7" s="9"/>
      <c r="G7" s="9">
        <f>C7+D7-E7-F7</f>
        <v>0</v>
      </c>
      <c r="H7" s="9" t="str">
        <f>IF(G7&lt;30,"تنبيه: طلب شراء","مقبول")</f>
        <v>تنبيه: طلب شراء</v>
      </c>
    </row>
    <row r="8" spans="1:8" ht="26" customHeight="1" x14ac:dyDescent="0.35">
      <c r="A8" s="43" t="s">
        <v>188</v>
      </c>
      <c r="B8" s="43" t="s">
        <v>184</v>
      </c>
      <c r="C8" s="43"/>
      <c r="D8" s="43"/>
      <c r="E8" s="43"/>
      <c r="F8" s="43"/>
      <c r="G8" s="43">
        <f>C8+D8-E8-F8</f>
        <v>0</v>
      </c>
      <c r="H8" s="43" t="str">
        <f>IF(G8&lt;30,"تنبيه: طلب شراء","مقبول")</f>
        <v>تنبيه: طلب شراء</v>
      </c>
    </row>
    <row r="9" spans="1:8" ht="26" customHeight="1" x14ac:dyDescent="0.35">
      <c r="A9" s="9" t="s">
        <v>189</v>
      </c>
      <c r="B9" s="9" t="s">
        <v>184</v>
      </c>
      <c r="C9" s="9"/>
      <c r="D9" s="9"/>
      <c r="E9" s="9"/>
      <c r="F9" s="9"/>
      <c r="G9" s="9">
        <f>C9+D9-E9-F9</f>
        <v>0</v>
      </c>
      <c r="H9" s="9" t="str">
        <f>IF(G9&lt;12,"تنبيه: طلب شراء","مقبول")</f>
        <v>تنبيه: طلب شراء</v>
      </c>
    </row>
    <row r="10" spans="1:8" ht="26" customHeight="1" x14ac:dyDescent="0.35">
      <c r="A10" s="43" t="s">
        <v>190</v>
      </c>
      <c r="B10" s="43" t="s">
        <v>184</v>
      </c>
      <c r="C10" s="43"/>
      <c r="D10" s="43"/>
      <c r="E10" s="43"/>
      <c r="F10" s="43"/>
      <c r="G10" s="43">
        <f>C10+D10-E10-F10</f>
        <v>0</v>
      </c>
      <c r="H10" s="43" t="str">
        <f>IF(G10&lt;12,"تنبيه: طلب شراء","مقبول")</f>
        <v>تنبيه: طلب شراء</v>
      </c>
    </row>
    <row r="11" spans="1:8" ht="26" customHeight="1" x14ac:dyDescent="0.35">
      <c r="A11" s="9" t="s">
        <v>191</v>
      </c>
      <c r="B11" s="9" t="s">
        <v>184</v>
      </c>
      <c r="C11" s="9"/>
      <c r="D11" s="9"/>
      <c r="E11" s="9"/>
      <c r="F11" s="9"/>
      <c r="G11" s="9">
        <f>C11+D11-E11-F11</f>
        <v>0</v>
      </c>
      <c r="H11" s="9" t="str">
        <f>IF(G11&lt;16,"تنبيه: طلب شراء","مقبول")</f>
        <v>تنبيه: طلب شراء</v>
      </c>
    </row>
    <row r="12" spans="1:8" ht="26" customHeight="1" x14ac:dyDescent="0.35">
      <c r="A12" s="43" t="s">
        <v>192</v>
      </c>
      <c r="B12" s="43" t="s">
        <v>184</v>
      </c>
      <c r="C12" s="43"/>
      <c r="D12" s="43"/>
      <c r="E12" s="43"/>
      <c r="F12" s="43"/>
      <c r="G12" s="43">
        <f>C12+D12-E12-F12</f>
        <v>0</v>
      </c>
      <c r="H12" s="43" t="str">
        <f>IF(G12&lt;8,"تنبيه: طلب شراء","مقبول")</f>
        <v>تنبيه: طلب شراء</v>
      </c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ht="26" customHeight="1" x14ac:dyDescent="0.35">
      <c r="A15" s="22" t="s">
        <v>193</v>
      </c>
      <c r="B15" s="3"/>
      <c r="C15" s="3"/>
      <c r="D15" s="3"/>
      <c r="E15" s="3"/>
      <c r="F15" s="3"/>
      <c r="G15" s="3"/>
      <c r="H15" s="3"/>
    </row>
    <row r="16" spans="1:8" s="1" customFormat="1" x14ac:dyDescent="0.35">
      <c r="A16" s="42" t="s">
        <v>194</v>
      </c>
      <c r="B16" s="42" t="s">
        <v>5</v>
      </c>
      <c r="C16" s="42" t="s">
        <v>195</v>
      </c>
      <c r="D16" s="42" t="s">
        <v>196</v>
      </c>
      <c r="E16" s="42" t="s">
        <v>197</v>
      </c>
      <c r="F16" s="42" t="s">
        <v>198</v>
      </c>
      <c r="G16" s="42" t="s">
        <v>199</v>
      </c>
      <c r="H16" s="42" t="s">
        <v>200</v>
      </c>
    </row>
    <row r="17" spans="1:8" ht="26" customHeight="1" x14ac:dyDescent="0.35">
      <c r="A17" s="9" t="s">
        <v>201</v>
      </c>
      <c r="B17" s="9"/>
      <c r="C17" s="9"/>
      <c r="D17" s="9"/>
      <c r="E17" s="9"/>
      <c r="F17" s="9"/>
      <c r="G17" s="9">
        <f>F17-D17</f>
        <v>0</v>
      </c>
      <c r="H17" s="9"/>
    </row>
    <row r="18" spans="1:8" ht="26" customHeight="1" x14ac:dyDescent="0.35">
      <c r="A18" s="43" t="s">
        <v>202</v>
      </c>
      <c r="B18" s="43"/>
      <c r="C18" s="43"/>
      <c r="D18" s="43"/>
      <c r="E18" s="43"/>
      <c r="F18" s="43"/>
      <c r="G18" s="43">
        <f>F18-D18</f>
        <v>0</v>
      </c>
      <c r="H18" s="43"/>
    </row>
    <row r="19" spans="1:8" ht="26" customHeight="1" x14ac:dyDescent="0.35">
      <c r="A19" s="9" t="s">
        <v>203</v>
      </c>
      <c r="B19" s="9"/>
      <c r="C19" s="9"/>
      <c r="D19" s="9"/>
      <c r="E19" s="9"/>
      <c r="F19" s="9"/>
      <c r="G19" s="9">
        <f>F19-D19</f>
        <v>0</v>
      </c>
      <c r="H19" s="9"/>
    </row>
    <row r="20" spans="1:8" ht="26" customHeight="1" x14ac:dyDescent="0.35">
      <c r="A20" s="43" t="s">
        <v>204</v>
      </c>
      <c r="B20" s="43"/>
      <c r="C20" s="43"/>
      <c r="D20" s="43"/>
      <c r="E20" s="43"/>
      <c r="F20" s="43"/>
      <c r="G20" s="43">
        <f>F20-D20</f>
        <v>0</v>
      </c>
      <c r="H20" s="43"/>
    </row>
    <row r="21" spans="1:8" ht="26" customHeight="1" x14ac:dyDescent="0.35">
      <c r="A21" s="9" t="s">
        <v>205</v>
      </c>
      <c r="B21" s="9"/>
      <c r="C21" s="9"/>
      <c r="D21" s="9"/>
      <c r="E21" s="9"/>
      <c r="F21" s="9"/>
      <c r="G21" s="9">
        <f>F21-D21</f>
        <v>0</v>
      </c>
      <c r="H21" s="9"/>
    </row>
    <row r="22" spans="1:8" ht="26" customHeight="1" x14ac:dyDescent="0.35">
      <c r="A22" s="43" t="s">
        <v>206</v>
      </c>
      <c r="B22" s="43"/>
      <c r="C22" s="43"/>
      <c r="D22" s="43"/>
      <c r="E22" s="43"/>
      <c r="F22" s="43"/>
      <c r="G22" s="43">
        <f>F22-D22</f>
        <v>0</v>
      </c>
      <c r="H22" s="43"/>
    </row>
    <row r="23" spans="1:8" ht="26" customHeight="1" x14ac:dyDescent="0.35">
      <c r="A23" s="9" t="s">
        <v>207</v>
      </c>
      <c r="B23" s="9"/>
      <c r="C23" s="9"/>
      <c r="D23" s="9"/>
      <c r="E23" s="9"/>
      <c r="F23" s="9"/>
      <c r="G23" s="9">
        <f>F23-D23</f>
        <v>0</v>
      </c>
      <c r="H23" s="9"/>
    </row>
    <row r="24" spans="1:8" ht="26" customHeight="1" x14ac:dyDescent="0.35">
      <c r="A24" s="43" t="s">
        <v>208</v>
      </c>
      <c r="B24" s="43"/>
      <c r="C24" s="43"/>
      <c r="D24" s="43"/>
      <c r="E24" s="43"/>
      <c r="F24" s="43"/>
      <c r="G24" s="43">
        <f>F24-D24</f>
        <v>0</v>
      </c>
      <c r="H24" s="43"/>
    </row>
    <row r="25" spans="1:8" ht="26" customHeight="1" x14ac:dyDescent="0.35">
      <c r="A25" s="9" t="s">
        <v>209</v>
      </c>
      <c r="B25" s="9"/>
      <c r="C25" s="9"/>
      <c r="D25" s="9"/>
      <c r="E25" s="9"/>
      <c r="F25" s="9"/>
      <c r="G25" s="9">
        <f>F25-D25</f>
        <v>0</v>
      </c>
      <c r="H25" s="9"/>
    </row>
    <row r="26" spans="1:8" ht="26" customHeight="1" x14ac:dyDescent="0.35">
      <c r="A26" s="43" t="s">
        <v>210</v>
      </c>
      <c r="B26" s="43"/>
      <c r="C26" s="43"/>
      <c r="D26" s="43"/>
      <c r="E26" s="43"/>
      <c r="F26" s="43"/>
      <c r="G26" s="43">
        <f>F26-D26</f>
        <v>0</v>
      </c>
      <c r="H26" s="43"/>
    </row>
    <row r="27" spans="1:8" x14ac:dyDescent="0.35">
      <c r="A27" s="4"/>
      <c r="B27" s="4"/>
      <c r="C27" s="4"/>
      <c r="D27" s="4"/>
      <c r="E27" s="4"/>
      <c r="F27" s="4"/>
      <c r="G27" s="4"/>
      <c r="H27" s="4"/>
    </row>
    <row r="28" spans="1:8" x14ac:dyDescent="0.35">
      <c r="A28" s="4"/>
      <c r="B28" s="4"/>
      <c r="C28" s="4"/>
      <c r="D28" s="4"/>
      <c r="E28" s="4"/>
      <c r="F28" s="4"/>
      <c r="G28" s="4"/>
      <c r="H28" s="4"/>
    </row>
    <row r="29" spans="1:8" ht="26" customHeight="1" x14ac:dyDescent="0.35">
      <c r="A29" s="22" t="s">
        <v>211</v>
      </c>
      <c r="B29" s="3"/>
      <c r="C29" s="3"/>
      <c r="D29" s="3"/>
      <c r="E29" s="3"/>
      <c r="F29" s="3"/>
      <c r="G29" s="3"/>
      <c r="H29" s="3"/>
    </row>
    <row r="30" spans="1:8" s="1" customFormat="1" x14ac:dyDescent="0.35">
      <c r="A30" s="42" t="s">
        <v>176</v>
      </c>
      <c r="B30" s="42" t="s">
        <v>212</v>
      </c>
      <c r="C30" s="42" t="s">
        <v>213</v>
      </c>
      <c r="D30" s="42" t="s">
        <v>214</v>
      </c>
      <c r="E30" s="42" t="s">
        <v>215</v>
      </c>
      <c r="F30" s="42" t="s">
        <v>216</v>
      </c>
      <c r="G30" s="42"/>
      <c r="H30" s="42"/>
    </row>
    <row r="31" spans="1:8" ht="26" customHeight="1" x14ac:dyDescent="0.35">
      <c r="A31" s="43"/>
      <c r="B31" s="43"/>
      <c r="C31" s="43" t="s">
        <v>217</v>
      </c>
      <c r="D31" s="43"/>
      <c r="E31" s="43"/>
      <c r="F31" s="43"/>
      <c r="G31" s="43"/>
      <c r="H31" s="43"/>
    </row>
    <row r="32" spans="1:8" ht="26" customHeight="1" x14ac:dyDescent="0.35">
      <c r="A32" s="9"/>
      <c r="B32" s="9"/>
      <c r="C32" s="9" t="s">
        <v>217</v>
      </c>
      <c r="D32" s="9"/>
      <c r="E32" s="9"/>
      <c r="F32" s="9"/>
      <c r="G32" s="9"/>
      <c r="H32" s="9"/>
    </row>
    <row r="33" spans="1:8" ht="26" customHeight="1" x14ac:dyDescent="0.35">
      <c r="A33" s="43"/>
      <c r="B33" s="43"/>
      <c r="C33" s="43" t="s">
        <v>217</v>
      </c>
      <c r="D33" s="43"/>
      <c r="E33" s="43"/>
      <c r="F33" s="43"/>
      <c r="G33" s="43"/>
      <c r="H33" s="43"/>
    </row>
    <row r="34" spans="1:8" ht="26" customHeight="1" x14ac:dyDescent="0.35">
      <c r="A34" s="9"/>
      <c r="B34" s="9"/>
      <c r="C34" s="9" t="s">
        <v>217</v>
      </c>
      <c r="D34" s="9"/>
      <c r="E34" s="9"/>
      <c r="F34" s="9"/>
      <c r="G34" s="9"/>
      <c r="H34" s="9"/>
    </row>
    <row r="35" spans="1:8" ht="26" customHeight="1" x14ac:dyDescent="0.35">
      <c r="A35" s="43"/>
      <c r="B35" s="43"/>
      <c r="C35" s="43" t="s">
        <v>217</v>
      </c>
      <c r="D35" s="43"/>
      <c r="E35" s="43"/>
      <c r="F35" s="43"/>
      <c r="G35" s="43"/>
      <c r="H35" s="43"/>
    </row>
    <row r="36" spans="1:8" x14ac:dyDescent="0.35">
      <c r="A36" s="4"/>
      <c r="B36" s="4"/>
      <c r="C36" s="4"/>
      <c r="D36" s="4"/>
      <c r="E36" s="4"/>
      <c r="F36" s="4"/>
      <c r="G36" s="4"/>
      <c r="H36" s="4"/>
    </row>
  </sheetData>
  <mergeCells count="4">
    <mergeCell ref="A1:H1"/>
    <mergeCell ref="A2:H2"/>
    <mergeCell ref="A15:H15"/>
    <mergeCell ref="A29:H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21AE-297B-4B6D-9E26-DE3DC55837A7}">
  <sheetPr>
    <tabColor rgb="FF1F497D"/>
  </sheetPr>
  <dimension ref="A1:F15"/>
  <sheetViews>
    <sheetView rightToLeft="1" tabSelected="1" workbookViewId="0"/>
  </sheetViews>
  <sheetFormatPr defaultRowHeight="14.5" x14ac:dyDescent="0.35"/>
  <cols>
    <col min="1" max="1" width="28.6328125" customWidth="1"/>
    <col min="2" max="2" width="14.6328125" customWidth="1"/>
    <col min="3" max="3" width="36.6328125" customWidth="1"/>
    <col min="4" max="5" width="16.6328125" customWidth="1"/>
    <col min="6" max="6" width="14.6328125" customWidth="1"/>
  </cols>
  <sheetData>
    <row r="1" spans="1:6" ht="45" customHeight="1" x14ac:dyDescent="0.35">
      <c r="A1" s="44" t="s">
        <v>218</v>
      </c>
      <c r="B1" s="3"/>
      <c r="C1" s="3"/>
      <c r="D1" s="3"/>
      <c r="E1" s="3"/>
      <c r="F1" s="3"/>
    </row>
    <row r="2" spans="1:6" ht="26" customHeight="1" x14ac:dyDescent="0.35">
      <c r="A2" s="5" t="s">
        <v>3</v>
      </c>
      <c r="B2" s="4"/>
      <c r="C2" s="5" t="s">
        <v>219</v>
      </c>
      <c r="D2" s="4">
        <v>25</v>
      </c>
      <c r="E2" s="4"/>
      <c r="F2" s="4"/>
    </row>
    <row r="3" spans="1:6" x14ac:dyDescent="0.35">
      <c r="A3" s="4"/>
      <c r="B3" s="4"/>
      <c r="C3" s="4"/>
      <c r="D3" s="4"/>
      <c r="E3" s="4"/>
      <c r="F3" s="4"/>
    </row>
    <row r="4" spans="1:6" s="1" customFormat="1" ht="30" customHeight="1" x14ac:dyDescent="0.35">
      <c r="A4" s="7" t="s">
        <v>220</v>
      </c>
      <c r="B4" s="7" t="s">
        <v>156</v>
      </c>
      <c r="C4" s="7" t="s">
        <v>221</v>
      </c>
      <c r="D4" s="7" t="s">
        <v>222</v>
      </c>
      <c r="E4" s="7" t="s">
        <v>223</v>
      </c>
      <c r="F4" s="7" t="s">
        <v>224</v>
      </c>
    </row>
    <row r="5" spans="1:6" ht="28" customHeight="1" x14ac:dyDescent="0.35">
      <c r="A5" s="9" t="s">
        <v>225</v>
      </c>
      <c r="B5" s="9" t="s">
        <v>173</v>
      </c>
      <c r="C5" s="9" t="s">
        <v>226</v>
      </c>
      <c r="D5" s="9"/>
      <c r="E5" s="9" t="s">
        <v>227</v>
      </c>
      <c r="F5" s="9"/>
    </row>
    <row r="6" spans="1:6" ht="28" customHeight="1" x14ac:dyDescent="0.35">
      <c r="A6" s="8" t="s">
        <v>228</v>
      </c>
      <c r="B6" s="8" t="s">
        <v>229</v>
      </c>
      <c r="C6" s="8" t="s">
        <v>230</v>
      </c>
      <c r="D6" s="8"/>
      <c r="E6" s="8" t="s">
        <v>231</v>
      </c>
      <c r="F6" s="8"/>
    </row>
    <row r="7" spans="1:6" ht="28" customHeight="1" x14ac:dyDescent="0.35">
      <c r="A7" s="9" t="s">
        <v>232</v>
      </c>
      <c r="B7" s="9" t="s">
        <v>233</v>
      </c>
      <c r="C7" s="9" t="s">
        <v>234</v>
      </c>
      <c r="D7" s="9"/>
      <c r="E7" s="9" t="s">
        <v>235</v>
      </c>
      <c r="F7" s="9"/>
    </row>
    <row r="8" spans="1:6" ht="28" customHeight="1" x14ac:dyDescent="0.35">
      <c r="A8" s="8" t="s">
        <v>236</v>
      </c>
      <c r="B8" s="8" t="s">
        <v>237</v>
      </c>
      <c r="C8" s="8" t="s">
        <v>238</v>
      </c>
      <c r="D8" s="8"/>
      <c r="E8" s="8" t="s">
        <v>239</v>
      </c>
      <c r="F8" s="8"/>
    </row>
    <row r="9" spans="1:6" ht="28" customHeight="1" x14ac:dyDescent="0.35">
      <c r="A9" s="9" t="s">
        <v>240</v>
      </c>
      <c r="B9" s="9" t="s">
        <v>241</v>
      </c>
      <c r="C9" s="9" t="s">
        <v>242</v>
      </c>
      <c r="D9" s="9"/>
      <c r="E9" s="9" t="s">
        <v>243</v>
      </c>
      <c r="F9" s="9"/>
    </row>
    <row r="10" spans="1:6" ht="28" customHeight="1" x14ac:dyDescent="0.35">
      <c r="A10" s="8" t="s">
        <v>244</v>
      </c>
      <c r="B10" s="8" t="s">
        <v>245</v>
      </c>
      <c r="C10" s="8" t="s">
        <v>246</v>
      </c>
      <c r="D10" s="8"/>
      <c r="E10" s="8" t="s">
        <v>247</v>
      </c>
      <c r="F10" s="8"/>
    </row>
    <row r="11" spans="1:6" ht="28" customHeight="1" x14ac:dyDescent="0.35">
      <c r="A11" s="9" t="s">
        <v>248</v>
      </c>
      <c r="B11" s="9" t="s">
        <v>249</v>
      </c>
      <c r="C11" s="9" t="s">
        <v>250</v>
      </c>
      <c r="D11" s="9"/>
      <c r="E11" s="9" t="s">
        <v>251</v>
      </c>
      <c r="F11" s="9"/>
    </row>
    <row r="12" spans="1:6" ht="28" customHeight="1" x14ac:dyDescent="0.35">
      <c r="A12" s="8" t="s">
        <v>252</v>
      </c>
      <c r="B12" s="8" t="s">
        <v>253</v>
      </c>
      <c r="C12" s="8" t="s">
        <v>254</v>
      </c>
      <c r="D12" s="8"/>
      <c r="E12" s="8" t="s">
        <v>255</v>
      </c>
      <c r="F12" s="8"/>
    </row>
    <row r="13" spans="1:6" ht="28" customHeight="1" x14ac:dyDescent="0.35">
      <c r="A13" s="9" t="s">
        <v>256</v>
      </c>
      <c r="B13" s="9" t="s">
        <v>257</v>
      </c>
      <c r="C13" s="9" t="s">
        <v>258</v>
      </c>
      <c r="D13" s="9"/>
      <c r="E13" s="9" t="s">
        <v>259</v>
      </c>
      <c r="F13" s="9"/>
    </row>
    <row r="14" spans="1:6" ht="28" customHeight="1" x14ac:dyDescent="0.35">
      <c r="A14" s="8" t="s">
        <v>260</v>
      </c>
      <c r="B14" s="8" t="s">
        <v>261</v>
      </c>
      <c r="C14" s="8" t="s">
        <v>262</v>
      </c>
      <c r="D14" s="8"/>
      <c r="E14" s="8"/>
      <c r="F14" s="8"/>
    </row>
    <row r="15" spans="1:6" s="1" customFormat="1" ht="30" customHeight="1" x14ac:dyDescent="0.35">
      <c r="A15" s="7" t="s">
        <v>263</v>
      </c>
      <c r="B15" s="7"/>
      <c r="C15" s="7" t="s">
        <v>264</v>
      </c>
      <c r="D15" s="7"/>
      <c r="E15" s="7"/>
      <c r="F15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1-A سجل الصندوق</vt:lpstr>
      <vt:lpstr>1-B اذن الصرف</vt:lpstr>
      <vt:lpstr>1-C سند القبض</vt:lpstr>
      <vt:lpstr>1-D تسليم الوردية</vt:lpstr>
      <vt:lpstr>2-A نموذج الحجز</vt:lpstr>
      <vt:lpstr>2-B كرت التسكين</vt:lpstr>
      <vt:lpstr>2-C فاتورة النزيل</vt:lpstr>
      <vt:lpstr>3-A حالة الغرف</vt:lpstr>
      <vt:lpstr>3-B البياضات والمغسلة</vt:lpstr>
      <vt:lpstr>Dashboard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2026-08-05T10:38:19Z</dcterms:created>
  <dcterms:modified xsi:type="dcterms:W3CDTF">2026-08-05T10:39:14Z</dcterms:modified>
</cp:coreProperties>
</file>