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صروفات التفصيلي" state="visible" r:id="rId4"/>
    <sheet sheetId="2" name="ملخص حسب التصنيفات" state="visible" r:id="rId5"/>
    <sheet sheetId="3" name="مطابقة صفحات الدفتر" state="visible" r:id="rId6"/>
  </sheets>
  <calcPr calcId="171027"/>
</workbook>
</file>

<file path=xl/sharedStrings.xml><?xml version="1.0" encoding="utf-8"?>
<sst xmlns="http://schemas.openxmlformats.org/spreadsheetml/2006/main" count="784" uniqueCount="294">
  <si>
    <t>هوستل الأهرامات — سجل كشف مصاريف الأستاذ خالد (المعدل والمعتمد بالكامل)</t>
  </si>
  <si>
    <t>تم التحديث والاعتماد المحاسبي بتاريخ: ١٠‏/٨‏/٢٠٢٦ — متوافق 100% مع التعديلات اليدوية المسجلة بالدفتر الشامل</t>
  </si>
  <si>
    <t>إجمالي المصروفات المعتمدة الكلية (بعد التعديلات اليدوية)</t>
  </si>
  <si>
    <t>إجمالي عدد البنود</t>
  </si>
  <si>
    <t>حالة اعتماد السجل</t>
  </si>
  <si>
    <t>معتمد 100%</t>
  </si>
  <si>
    <t>م</t>
  </si>
  <si>
    <t>مصدر المستند</t>
  </si>
  <si>
    <t>البيان وتفاصيل المصروف</t>
  </si>
  <si>
    <t>المبلغ (جنيه)</t>
  </si>
  <si>
    <t>حالة البند</t>
  </si>
  <si>
    <t>التصنيف الرئيسي</t>
  </si>
  <si>
    <t>ملاحظات وتوجيه محاسبي</t>
  </si>
  <si>
    <t>صفحة 1</t>
  </si>
  <si>
    <t>دفعة للعامل محمد زكي</t>
  </si>
  <si>
    <t>معتمد</t>
  </si>
  <si>
    <t>أجور وعمالة</t>
  </si>
  <si>
    <t>دفعة عامل</t>
  </si>
  <si>
    <t>دفعة من حساب إصلاح الكراسي</t>
  </si>
  <si>
    <t>أثاث ومفروشات</t>
  </si>
  <si>
    <t>إصلاح كراسي</t>
  </si>
  <si>
    <t>دفعة من حساب الأسانسير</t>
  </si>
  <si>
    <t>صيانة ومصاعد</t>
  </si>
  <si>
    <t>دفعة أسانسير</t>
  </si>
  <si>
    <t>دفعة عربون لمحمد السال المفروشات</t>
  </si>
  <si>
    <t>عربون مفروشات</t>
  </si>
  <si>
    <t>أكياس رايتس ثقيلة</t>
  </si>
  <si>
    <t>نثريات وتجهيزات</t>
  </si>
  <si>
    <t/>
  </si>
  <si>
    <t>هناء (أجور وعمالة)</t>
  </si>
  <si>
    <t>كرتونة مياه</t>
  </si>
  <si>
    <t>ضيافة وفندق</t>
  </si>
  <si>
    <t>نثريات ومصروفات عامة</t>
  </si>
  <si>
    <t>دفعة للولد البراويز</t>
  </si>
  <si>
    <t>أعمال تشطيب وديكور</t>
  </si>
  <si>
    <t>دفعة براويز</t>
  </si>
  <si>
    <t>سيارة نقل البراويز من الجيزة للفندق</t>
  </si>
  <si>
    <t>نقل وشحن</t>
  </si>
  <si>
    <t>نقل ديكورات</t>
  </si>
  <si>
    <t>تكسير بار بالروف والمطبخ والحوائط</t>
  </si>
  <si>
    <t>أعمال مدنية ومباني</t>
  </si>
  <si>
    <t>تكسير وإزالة</t>
  </si>
  <si>
    <t>10 أسمنت و 250 بلوك + 3 متر رملة وسن</t>
  </si>
  <si>
    <t>مواد بناء ومحارة</t>
  </si>
  <si>
    <t>أسمنت وبلوك ورمل وسن</t>
  </si>
  <si>
    <t>أجولة فارغة لتنزيل مخلفات الروف</t>
  </si>
  <si>
    <t>رفع مخلفات</t>
  </si>
  <si>
    <t>مقابض التواليت والكبائن والشبابيك</t>
  </si>
  <si>
    <t>إكسسوارات وتشطيبات</t>
  </si>
  <si>
    <t>مقابض وإكسسوار</t>
  </si>
  <si>
    <t>هناء</t>
  </si>
  <si>
    <t>أجور وإعاشة</t>
  </si>
  <si>
    <t>دفعة لعمرو المنجد من حساب ظهور السراير</t>
  </si>
  <si>
    <t>تنجيد ظهور سراير</t>
  </si>
  <si>
    <t>خالد المغربي (أجور ومصنوعيات)</t>
  </si>
  <si>
    <t>عربية نقل مخلفات من الريسبشن</t>
  </si>
  <si>
    <t>حساب الجبسين بورد روف + ريسبشن</t>
  </si>
  <si>
    <t>جبس بورد للروف والريسبشن</t>
  </si>
  <si>
    <t>تكسير جدار الريسبشن (قطع حوائط) 250x28</t>
  </si>
  <si>
    <t>تكسير حوائط</t>
  </si>
  <si>
    <t>4 عمال لتطليع 450 متر سيراميك أرضيات وحوائط + أسمنت ورملة</t>
  </si>
  <si>
    <t>تشوين وتطليع مواد وسيراميك</t>
  </si>
  <si>
    <t>أعمال تأسيس السباكة في الروف الحمامات الجديدة + الأبواب والمطبخ</t>
  </si>
  <si>
    <t>سباكة وصرف</t>
  </si>
  <si>
    <t>مصنعيات سباكة</t>
  </si>
  <si>
    <t>مشتروات السباكة للتأسيس</t>
  </si>
  <si>
    <t>خامات سباكة تأسيس</t>
  </si>
  <si>
    <t>استكمال مشتروات السباكة</t>
  </si>
  <si>
    <t>خامات سباكة</t>
  </si>
  <si>
    <t>فاتورة غسيل الفرش القديم</t>
  </si>
  <si>
    <t>مرافق وفواتير</t>
  </si>
  <si>
    <t>غسيل مفارش وفرش</t>
  </si>
  <si>
    <t>عدد 4 عمال لتنظيف الروف والأدوار والسلم والريسبشن</t>
  </si>
  <si>
    <t>عمال نظافة</t>
  </si>
  <si>
    <t>جالون لاكية أسود للمحلات</t>
  </si>
  <si>
    <t>دهانات وتكسية</t>
  </si>
  <si>
    <t>دهانات لاكيه</t>
  </si>
  <si>
    <t>فاتورة كهرباء شهر (5)</t>
  </si>
  <si>
    <t>كهرباء وإنارة</t>
  </si>
  <si>
    <t>كهرباء شهر مايو</t>
  </si>
  <si>
    <t>مناولة لمحمد زكي لتفضيل أعماله بحضور أحمد العليان</t>
  </si>
  <si>
    <t>مناولة أعمال</t>
  </si>
  <si>
    <t>دفعة للمفروشات محمد السال</t>
  </si>
  <si>
    <t>تجهيز مفروشات</t>
  </si>
  <si>
    <t>صفحة 2</t>
  </si>
  <si>
    <t>50 متر سيراميك + 6 شكاير ماستق</t>
  </si>
  <si>
    <t>سيراميك ومادة</t>
  </si>
  <si>
    <t>محمد زكي كان دفعها أحمد العليان</t>
  </si>
  <si>
    <t>تسوية عامل</t>
  </si>
  <si>
    <t>أعمال تأسيس كهرباء للحمام والأحواض بالروف خامات + مصنعية</t>
  </si>
  <si>
    <t>تأسيس كهرباء</t>
  </si>
  <si>
    <t>نقل أدوات السباكة</t>
  </si>
  <si>
    <t>نقل خامات</t>
  </si>
  <si>
    <t>الرشاطة + كيس فلق الأسانسير</t>
  </si>
  <si>
    <t>جركن أدي بوند + شكارة مادة</t>
  </si>
  <si>
    <t>أجولة فارغة</t>
  </si>
  <si>
    <t>أحمد العليان أختام</t>
  </si>
  <si>
    <t>أختام وأعمال</t>
  </si>
  <si>
    <t>شركة الرضا صيانات + حامل تكييف + حامل فوط</t>
  </si>
  <si>
    <t>صيانات وإكسسوار تكييفات</t>
  </si>
  <si>
    <t>كرتونة سيراميك أبيض 25x40</t>
  </si>
  <si>
    <t>نقل مراويات من عند ملاك</t>
  </si>
  <si>
    <t>6 شكارة أسمنت + مادة سقية + 1/2 شكارة أسمنت أبيض</t>
  </si>
  <si>
    <t>نجارة كاملة للروف 2 يومية</t>
  </si>
  <si>
    <t>يوميات نجارة</t>
  </si>
  <si>
    <t>تركيب سيراميك حوائط المطبخ + أرضيات الحمامات والغرفة</t>
  </si>
  <si>
    <t>مصنعية تركيب سيراميك</t>
  </si>
  <si>
    <t>يومية تكسير الجدار في الريسبشن العامود وخلع الميزانين</t>
  </si>
  <si>
    <t>100 طوب أحمر + شكارة أسمنت + 3 شكارة رملة للجدار بجوار الريسبشن</t>
  </si>
  <si>
    <t>بناء جدار الفاصل في الريسبشن مع الجار الخلفي</t>
  </si>
  <si>
    <t>بناء حوائط</t>
  </si>
  <si>
    <t>حجر قطعية وسلك لحام</t>
  </si>
  <si>
    <t>مستلزمات ورشة</t>
  </si>
  <si>
    <t>أحمد الفنان رسومات (أولى)</t>
  </si>
  <si>
    <t>رسومات فنية</t>
  </si>
  <si>
    <t>4 نقلات كارو لرفع المخلفات من الريسبشن</t>
  </si>
  <si>
    <t>غسيل المراتب 50*300 جنيه</t>
  </si>
  <si>
    <t>حساب جرانيت</t>
  </si>
  <si>
    <t>منظفات (فلاش + جلاكسي + صابون)</t>
  </si>
  <si>
    <t>نظافة وغسيل</t>
  </si>
  <si>
    <t>نجارة عامود الريسبشن وجانب الأسانسير</t>
  </si>
  <si>
    <t>نجارة مسلح / تجليد</t>
  </si>
  <si>
    <t>200 بلوك + 70 طوبة أحمر + 2 شكارة أسمنت لجدار الروف</t>
  </si>
  <si>
    <t>أجرة بناء بار الروف</t>
  </si>
  <si>
    <t>مصنعية بناء</t>
  </si>
  <si>
    <t>تنزيل مخلفات المبنى والنجارة من الروف + أكياس</t>
  </si>
  <si>
    <t>عربية دافيو + تركيب عدد 14 عتبة لحمامات الغرف</t>
  </si>
  <si>
    <t>تركيب عتب</t>
  </si>
  <si>
    <t>دفعة للستائر يوم التركيب</t>
  </si>
  <si>
    <t>ستائر الفندق</t>
  </si>
  <si>
    <t>حديد للروف</t>
  </si>
  <si>
    <t>حديد تسليح / هيكل</t>
  </si>
  <si>
    <t>طارق الحداد</t>
  </si>
  <si>
    <t>مصنعية نجارة</t>
  </si>
  <si>
    <t>صفحة 3</t>
  </si>
  <si>
    <t>نقل ألواح بديل الرخام من أكتوبر للفندق (يوسف)</t>
  </si>
  <si>
    <t>سيليكون + مادة لصق وهميت</t>
  </si>
  <si>
    <t>مواد لصق بديل رخام</t>
  </si>
  <si>
    <t>مرتبات هاني + علاء + هناء</t>
  </si>
  <si>
    <t>مرتبات وإعاشات</t>
  </si>
  <si>
    <t>المتبقي من حساب اليافطة يوم التركيب</t>
  </si>
  <si>
    <t>ديكور ومكملات</t>
  </si>
  <si>
    <t>يافطة الفندق</t>
  </si>
  <si>
    <t>تقطيع ألواح بديل الرخام للروف</t>
  </si>
  <si>
    <t>مصنعية تقطيع</t>
  </si>
  <si>
    <t>نقل الكراسي من المصنع للروف يوم تصوير ريل</t>
  </si>
  <si>
    <t>تصوير وإعلام</t>
  </si>
  <si>
    <t>رمل + سن + أسمنت لصب قواعد كمرات الميزانين بالروف</t>
  </si>
  <si>
    <t>فرق الدولار من حساب 1000 للحاج</t>
  </si>
  <si>
    <t>تسويات حسابية</t>
  </si>
  <si>
    <t>4 عمال لتنظيف السطح</t>
  </si>
  <si>
    <t>سيليكون ومادة لصق وهميت</t>
  </si>
  <si>
    <t>غداء يوم التصوير</t>
  </si>
  <si>
    <t>إعاشة ضيافة</t>
  </si>
  <si>
    <t>سكينة معجون + فلاش + كيماويات تنظيف أرضيات</t>
  </si>
  <si>
    <t>تنظيف ومعجون</t>
  </si>
  <si>
    <t>سيليكون عضم + مادة أحمر</t>
  </si>
  <si>
    <t>حساب تركيب النيل للديكور</t>
  </si>
  <si>
    <t>تركيبات ديكور</t>
  </si>
  <si>
    <t>بكرة كابلات سلك 2x2.5 + بكرة سلك تليفون 200 متر</t>
  </si>
  <si>
    <t>كابلات وأسلاك</t>
  </si>
  <si>
    <t>يوسف أبو ذكري سلفة</t>
  </si>
  <si>
    <t>سلفة عامل</t>
  </si>
  <si>
    <t>أسمنت أبيض وشكارة باردة</t>
  </si>
  <si>
    <t>سيراميك أرضيات من أمام خزان الأسانسير بالروف</t>
  </si>
  <si>
    <t>علف كف رخام</t>
  </si>
  <si>
    <t>فاتورة كهرباء قديمة الشركة تم تحصيل مشاركتها من المالك للفندق لـ الروف</t>
  </si>
  <si>
    <t>مستحقات كهرباء</t>
  </si>
  <si>
    <t>رخام للمبار والروف الخلفي توريد وتراكيب</t>
  </si>
  <si>
    <t>رخام ومصنعية</t>
  </si>
  <si>
    <t>أجرة الحداد عند تجليد غرفة الأسانسير</t>
  </si>
  <si>
    <t>تجليد أسانسير</t>
  </si>
  <si>
    <t>إكراميات الحدادين</t>
  </si>
  <si>
    <t>إكراميات</t>
  </si>
  <si>
    <t>علاء المحامي</t>
  </si>
  <si>
    <t>أتعاب قانونية</t>
  </si>
  <si>
    <t>مازن (أجور وعمالة)</t>
  </si>
  <si>
    <t>عدد 13 أبواب خشب بالكسور روف + ريسبشن</t>
  </si>
  <si>
    <t>أبواب خشبية</t>
  </si>
  <si>
    <t>عدد 3 كالون كامل للأبواب</t>
  </si>
  <si>
    <t>كوالين</t>
  </si>
  <si>
    <t>عدد 3 مقابض للأبواب</t>
  </si>
  <si>
    <t>حلية أبواب للروف</t>
  </si>
  <si>
    <t>مصنعية تركيب 12 أبواب + مفصلات وتعديل مصدات الأبواب</t>
  </si>
  <si>
    <t>تركيب نجارة</t>
  </si>
  <si>
    <t>صفحة 4</t>
  </si>
  <si>
    <t>مستلزمات سباكة لتصريف الروف والتقفيل النهائي</t>
  </si>
  <si>
    <t>أجرة السباك عن كامل الروف</t>
  </si>
  <si>
    <t>مصنعية سباك</t>
  </si>
  <si>
    <t>فاتورة التليفون والأرضي والإنترنت للفندق برقم 022773292</t>
  </si>
  <si>
    <t>اتصالات وإنترنت</t>
  </si>
  <si>
    <t>دفعة لأحمد أسانسير</t>
  </si>
  <si>
    <t>صيانة مصاعد</t>
  </si>
  <si>
    <t>سلفة</t>
  </si>
  <si>
    <t>تنظيف + أكياس فارغة + عربية كارو</t>
  </si>
  <si>
    <t>نظافة ونقل</t>
  </si>
  <si>
    <t>رول + استقال + بار بلاك + مستلزمات</t>
  </si>
  <si>
    <t>خامات ومواد</t>
  </si>
  <si>
    <t>لف سلك دش ومستلزماته</t>
  </si>
  <si>
    <t>شبكة دش وتلفزيون</t>
  </si>
  <si>
    <t>استلام البنك (مصروفات بنكية إدارية)</t>
  </si>
  <si>
    <t>رسوم ومصاريف بنك</t>
  </si>
  <si>
    <t>مقص لعمرو المنجد</t>
  </si>
  <si>
    <t>2000 علاء + 2000 هناء للأجور يوم الكناريا</t>
  </si>
  <si>
    <t>أجور وعمالة (200+200+100)</t>
  </si>
  <si>
    <t>خالد العربي</t>
  </si>
  <si>
    <t>غسيل التكييفات</t>
  </si>
  <si>
    <t>صيانة نظافة تكييف</t>
  </si>
  <si>
    <t>مراحل ومبينات للدش</t>
  </si>
  <si>
    <t>سلك لحام + حجر قطعية</t>
  </si>
  <si>
    <t>حساب العربية لنقل الأكرليك سيدبالك للفندق + التنزيل بالحبال</t>
  </si>
  <si>
    <t>شحن وتنزيل بالحبال</t>
  </si>
  <si>
    <t>حساب النجار لتركيب صهريج السرير غرف 206</t>
  </si>
  <si>
    <t>مصنعية نجارة غرف</t>
  </si>
  <si>
    <t>تاكسيد لغرفة 206</t>
  </si>
  <si>
    <t>نقل ومصروفات غرف</t>
  </si>
  <si>
    <t>توريد وتركيب عدد 8 درجات جرانيت للسلالم في المدخل</t>
  </si>
  <si>
    <t>جرانيت السلم</t>
  </si>
  <si>
    <t>توريد وتركيب عدد 9 قرصة رخام لترابيزات الروف</t>
  </si>
  <si>
    <t>رخام ترابيزات</t>
  </si>
  <si>
    <t>وزرة السلم جلالة بالروف + جرانيت في المدخل</t>
  </si>
  <si>
    <t>وزرات رخام وجرانيت</t>
  </si>
  <si>
    <t>المفاضل الجرانيت في الريسبشن + عتب الأسانسير مدخل والروف</t>
  </si>
  <si>
    <t>مصنعيات تركيب التوزير ومرمات الروف الجوار</t>
  </si>
  <si>
    <t>مرمات تركيب</t>
  </si>
  <si>
    <t>علبة كولا داكن للرخام والجرانيت</t>
  </si>
  <si>
    <t>مواد جلي ولصق</t>
  </si>
  <si>
    <t>عدد 3 يوميات حديد مع الطوارئ لتجهيز الروف</t>
  </si>
  <si>
    <t>حديد وتسليح الروف</t>
  </si>
  <si>
    <t>عدد 4 أطقم + سلك تريوال 6 مم وعلب ومفاتيح للروف كامل</t>
  </si>
  <si>
    <t>مستلزمات كهرباء</t>
  </si>
  <si>
    <t>فرص نقل المزرع من الحنفية المنفذ</t>
  </si>
  <si>
    <t>أتعاب واستشارات</t>
  </si>
  <si>
    <t>عربون لعلاء الكهربائي رباتي (إجمالي 2500)</t>
  </si>
  <si>
    <t>عربون مصنعية</t>
  </si>
  <si>
    <t>عربون لأحمد الجابري رباتي (إجمالي 5000)</t>
  </si>
  <si>
    <t>احمد صبري</t>
  </si>
  <si>
    <t>صفحة 5</t>
  </si>
  <si>
    <t>محمد عمارة قارئ USB + وصلة</t>
  </si>
  <si>
    <t>وصلات وشواحن USB</t>
  </si>
  <si>
    <t>محمد عمارة تركيب الحوايات من الروف</t>
  </si>
  <si>
    <t>بلاستيك + معجون + لاكيهات دهانات روف + سلم</t>
  </si>
  <si>
    <t>دهانات ومعجون</t>
  </si>
  <si>
    <t>شكارة ممتاز + الشريط زاوية</t>
  </si>
  <si>
    <t>حنفية + وصلة + محبس + 3 وش بلاعة</t>
  </si>
  <si>
    <t>إكسسوارات سباكة</t>
  </si>
  <si>
    <t>مصنعيات نقاشي رباط (1000) لم يتم خفضها</t>
  </si>
  <si>
    <t>نقاشة ودهانات</t>
  </si>
  <si>
    <t>فرش دهان + مساطر + دراع شاشات + أطقم طاسة</t>
  </si>
  <si>
    <t>حوامل شاشات وديكورات</t>
  </si>
  <si>
    <t>مفاتيح نور + برايز خارجية + سلك ترموبلاستيك للريسبشن</t>
  </si>
  <si>
    <t>عدد 4 أهبوط للأسانسير</t>
  </si>
  <si>
    <t>تركيب باقي الاكسسوارات للحمامات بلاد بيل + صيانة</t>
  </si>
  <si>
    <t>إكسسوار حمامات</t>
  </si>
  <si>
    <t>تنر + نفط + يالة أحمر</t>
  </si>
  <si>
    <t>مذيبات ودهانات</t>
  </si>
  <si>
    <t>صرف حوض بار + سيليكون + تسليك لبالوعات</t>
  </si>
  <si>
    <t>عربية زرع من الجيزة للمندق الأحمدي</t>
  </si>
  <si>
    <t>نقل نباتات وزرع</t>
  </si>
  <si>
    <t>شاي + سكر + نسكافيه + مناديل للغرف</t>
  </si>
  <si>
    <t>مستلزمات غرف ونظافة</t>
  </si>
  <si>
    <t>كرتونة مياه يوم المحطة</t>
  </si>
  <si>
    <t>جالون لاكية أبيض + جلاكس</t>
  </si>
  <si>
    <t>علامات وأرقام الغرف بالكامل</t>
  </si>
  <si>
    <t>لافتات وأرقام غرف</t>
  </si>
  <si>
    <t>شامبو ديلس + صابون للغرف</t>
  </si>
  <si>
    <t>مستحضرات غرف</t>
  </si>
  <si>
    <t>عدد 2 حوض صيني للحمامات الروف + حوض ستانلس</t>
  </si>
  <si>
    <t>أحواض صحي</t>
  </si>
  <si>
    <t>ميداليات ستانلس للغرف</t>
  </si>
  <si>
    <t>ميداليات مفاتيح</t>
  </si>
  <si>
    <t>قلوب كوالين لجميع الغرف بالدور 2 و 4</t>
  </si>
  <si>
    <t>سلندرات كوالين</t>
  </si>
  <si>
    <t>الكراميات لهادي وعلاء</t>
  </si>
  <si>
    <t>صفحة 6 (ملاحظة 10 أغسطس)</t>
  </si>
  <si>
    <t>عدد 17 تليفون للغرف دور 2 و 4 والريسبشن والروف والمكتب</t>
  </si>
  <si>
    <t>أجهزة تليفونات غرف ومكاتب</t>
  </si>
  <si>
    <t>المجموع الإجمالي</t>
  </si>
  <si>
    <t>إجمالي كافة المصروفات المعتمدة بعد التعديلات</t>
  </si>
  <si>
    <t>إجمالي عام</t>
  </si>
  <si>
    <t>مجموع 145 بنداً معتمداً بالكامل</t>
  </si>
  <si>
    <t>هوستل الأهرامات — ملخص المصروفات المعدلة موزع حسب التصنيفات الرئيسية</t>
  </si>
  <si>
    <t>التصنيف المحاسبي الرئيسي</t>
  </si>
  <si>
    <t>إجمالي المصروفات المعتمدة (جنيه)</t>
  </si>
  <si>
    <t>عدد البنود المعتمدة</t>
  </si>
  <si>
    <t>النسبة المئوية من الإجمالي</t>
  </si>
  <si>
    <t>هوستل الأهرامات — جدول مطابقة صفحات الدفتر الورقي (بعد التعديلات اليدوية)</t>
  </si>
  <si>
    <t>رقم الصفحة / المستند</t>
  </si>
  <si>
    <t>إجمالي الصفحة المحسوب بالإكسيل (جنيه)</t>
  </si>
  <si>
    <t>عدد البنود بالصفحة</t>
  </si>
  <si>
    <t>ملاحظات المطابقة المحاسبية</t>
  </si>
  <si>
    <t>مطابق للقيم والبنود المعدلة بدفتر المصروفات</t>
  </si>
  <si>
    <t>المجموع الإجمالي الشامل</t>
  </si>
  <si>
    <t>إجمالي كافة الصفحات والمستندات معتمدة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</si>
</sst>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ج.م&quot;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374151"/>
      <sz val="11"/>
      <name val="Calibri"/>
    </font>
    <font>
      <b/>
      <color rgb="1E3A8A"/>
      <sz val="11"/>
    </font>
    <font>
      <b/>
      <color rgb="166534"/>
      <sz val="15"/>
    </font>
    <font>
      <b/>
      <color rgb="1E3A8A"/>
      <sz val="15"/>
    </font>
    <font>
      <b/>
      <color rgb="166534"/>
      <sz val="14"/>
    </font>
    <font>
      <b/>
      <color rgb="FFFFFF"/>
      <sz val="11"/>
      <name val="Calibri"/>
    </font>
    <font>
      <sz val="10.5"/>
      <name val="Calibri"/>
    </font>
    <font>
      <b/>
    </font>
    <font>
      <b/>
      <color rgb="166534"/>
    </font>
    <font>
      <b/>
      <color rgb="FFFFFF"/>
      <sz val="12"/>
      <name val="Calibri"/>
    </font>
    <font>
      <b/>
      <color rgb="FFFFFF"/>
      <sz val="15"/>
      <name val="Calibri"/>
    </font>
    <font>
      <b/>
      <color rgb="FFFFFF"/>
      <sz val="11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5E7EB"/>
      </patternFill>
    </fill>
    <fill>
      <patternFill patternType="solid">
        <fgColor rgb="DCFCE7"/>
      </patternFill>
    </fill>
    <fill>
      <patternFill patternType="solid">
        <fgColor rgb="F3F4F6"/>
      </patternFill>
    </fill>
  </fills>
  <borders count="3">
    <border>
      <left/>
      <right/>
      <top/>
      <bottom/>
      <diagonal/>
    </border>
    <border>
      <left style="thin">
        <color rgb="FFFFFF"/>
      </left>
      <right style="thin">
        <color rgb="FFFFFF"/>
      </right>
      <top style="medium">
        <color rgb="1E3A8A"/>
      </top>
      <bottom style="medium">
        <color rgb="1E3A8A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164" fontId="10" fillId="5" borderId="2" xfId="0" applyNumberFormat="1" applyFont="1" applyFill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4" customWidth="1"/>
    <col min="3" max="3" width="58" customWidth="1"/>
    <col min="4" max="4" width="16" customWidth="1"/>
    <col min="5" max="5" width="14" customWidth="1"/>
    <col min="6" max="6" width="24" customWidth="1"/>
    <col min="7" max="7" width="35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20" customHeight="1" spans="1:7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</row>
    <row r="5" ht="30" customHeight="1" spans="1:7" x14ac:dyDescent="0.25">
      <c r="A5" s="4">
        <f>SUM(D8:D152)</f>
      </c>
      <c r="B5" s="4"/>
      <c r="C5" s="4"/>
      <c r="D5" s="5">
        <f>COUNTA(C8:C152)</f>
      </c>
      <c r="E5" s="5"/>
      <c r="F5" s="6" t="s">
        <v>5</v>
      </c>
      <c r="G5" s="6"/>
    </row>
    <row r="6" ht="12" customHeight="1" x14ac:dyDescent="0.25"/>
    <row r="7" ht="28" customHeight="1" spans="1:7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ht="22" customHeight="1" spans="1:7" x14ac:dyDescent="0.25">
      <c r="A8" s="8">
        <v>1</v>
      </c>
      <c r="B8" s="8" t="s">
        <v>13</v>
      </c>
      <c r="C8" s="9" t="s">
        <v>14</v>
      </c>
      <c r="D8" s="10">
        <v>10000</v>
      </c>
      <c r="E8" s="11" t="s">
        <v>15</v>
      </c>
      <c r="F8" s="8" t="s">
        <v>16</v>
      </c>
      <c r="G8" s="9" t="s">
        <v>17</v>
      </c>
    </row>
    <row r="9" ht="22" customHeight="1" spans="1:7" x14ac:dyDescent="0.25">
      <c r="A9" s="12">
        <v>2</v>
      </c>
      <c r="B9" s="12" t="s">
        <v>13</v>
      </c>
      <c r="C9" s="13" t="s">
        <v>18</v>
      </c>
      <c r="D9" s="14">
        <v>10000</v>
      </c>
      <c r="E9" s="11" t="s">
        <v>15</v>
      </c>
      <c r="F9" s="12" t="s">
        <v>19</v>
      </c>
      <c r="G9" s="13" t="s">
        <v>20</v>
      </c>
    </row>
    <row r="10" ht="22" customHeight="1" spans="1:7" x14ac:dyDescent="0.25">
      <c r="A10" s="8">
        <v>3</v>
      </c>
      <c r="B10" s="8" t="s">
        <v>13</v>
      </c>
      <c r="C10" s="9" t="s">
        <v>21</v>
      </c>
      <c r="D10" s="10">
        <v>10000</v>
      </c>
      <c r="E10" s="11" t="s">
        <v>15</v>
      </c>
      <c r="F10" s="8" t="s">
        <v>22</v>
      </c>
      <c r="G10" s="9" t="s">
        <v>23</v>
      </c>
    </row>
    <row r="11" ht="22" customHeight="1" spans="1:7" x14ac:dyDescent="0.25">
      <c r="A11" s="12">
        <v>4</v>
      </c>
      <c r="B11" s="12" t="s">
        <v>13</v>
      </c>
      <c r="C11" s="13" t="s">
        <v>24</v>
      </c>
      <c r="D11" s="14">
        <v>10000</v>
      </c>
      <c r="E11" s="11" t="s">
        <v>15</v>
      </c>
      <c r="F11" s="12" t="s">
        <v>19</v>
      </c>
      <c r="G11" s="13" t="s">
        <v>25</v>
      </c>
    </row>
    <row r="12" ht="22" customHeight="1" spans="1:7" x14ac:dyDescent="0.25">
      <c r="A12" s="8">
        <v>5</v>
      </c>
      <c r="B12" s="8" t="s">
        <v>13</v>
      </c>
      <c r="C12" s="9" t="s">
        <v>26</v>
      </c>
      <c r="D12" s="10">
        <v>300</v>
      </c>
      <c r="E12" s="11" t="s">
        <v>15</v>
      </c>
      <c r="F12" s="8" t="s">
        <v>27</v>
      </c>
      <c r="G12" s="9" t="s">
        <v>28</v>
      </c>
    </row>
    <row r="13" ht="22" customHeight="1" spans="1:7" x14ac:dyDescent="0.25">
      <c r="A13" s="12">
        <v>6</v>
      </c>
      <c r="B13" s="12" t="s">
        <v>13</v>
      </c>
      <c r="C13" s="13" t="s">
        <v>29</v>
      </c>
      <c r="D13" s="14">
        <v>300</v>
      </c>
      <c r="E13" s="11" t="s">
        <v>15</v>
      </c>
      <c r="F13" s="12" t="s">
        <v>16</v>
      </c>
      <c r="G13" s="13" t="s">
        <v>28</v>
      </c>
    </row>
    <row r="14" ht="22" customHeight="1" spans="1:7" x14ac:dyDescent="0.25">
      <c r="A14" s="8">
        <v>7</v>
      </c>
      <c r="B14" s="8" t="s">
        <v>13</v>
      </c>
      <c r="C14" s="9" t="s">
        <v>30</v>
      </c>
      <c r="D14" s="10">
        <v>250</v>
      </c>
      <c r="E14" s="11" t="s">
        <v>15</v>
      </c>
      <c r="F14" s="8" t="s">
        <v>27</v>
      </c>
      <c r="G14" s="9" t="s">
        <v>31</v>
      </c>
    </row>
    <row r="15" ht="22" customHeight="1" spans="1:7" x14ac:dyDescent="0.25">
      <c r="A15" s="12">
        <v>8</v>
      </c>
      <c r="B15" s="12" t="s">
        <v>13</v>
      </c>
      <c r="C15" s="13" t="s">
        <v>32</v>
      </c>
      <c r="D15" s="14">
        <v>350</v>
      </c>
      <c r="E15" s="11" t="s">
        <v>15</v>
      </c>
      <c r="F15" s="12" t="s">
        <v>27</v>
      </c>
      <c r="G15" s="13" t="s">
        <v>28</v>
      </c>
    </row>
    <row r="16" ht="22" customHeight="1" spans="1:7" x14ac:dyDescent="0.25">
      <c r="A16" s="8">
        <v>9</v>
      </c>
      <c r="B16" s="8" t="s">
        <v>13</v>
      </c>
      <c r="C16" s="9" t="s">
        <v>33</v>
      </c>
      <c r="D16" s="10">
        <v>10000</v>
      </c>
      <c r="E16" s="11" t="s">
        <v>15</v>
      </c>
      <c r="F16" s="8" t="s">
        <v>34</v>
      </c>
      <c r="G16" s="9" t="s">
        <v>35</v>
      </c>
    </row>
    <row r="17" ht="22" customHeight="1" spans="1:7" x14ac:dyDescent="0.25">
      <c r="A17" s="12">
        <v>10</v>
      </c>
      <c r="B17" s="12" t="s">
        <v>13</v>
      </c>
      <c r="C17" s="13" t="s">
        <v>36</v>
      </c>
      <c r="D17" s="14">
        <v>500</v>
      </c>
      <c r="E17" s="11" t="s">
        <v>15</v>
      </c>
      <c r="F17" s="12" t="s">
        <v>37</v>
      </c>
      <c r="G17" s="13" t="s">
        <v>38</v>
      </c>
    </row>
    <row r="18" ht="22" customHeight="1" spans="1:7" x14ac:dyDescent="0.25">
      <c r="A18" s="8">
        <v>11</v>
      </c>
      <c r="B18" s="8" t="s">
        <v>13</v>
      </c>
      <c r="C18" s="9" t="s">
        <v>39</v>
      </c>
      <c r="D18" s="10">
        <v>6000</v>
      </c>
      <c r="E18" s="11" t="s">
        <v>15</v>
      </c>
      <c r="F18" s="8" t="s">
        <v>40</v>
      </c>
      <c r="G18" s="9" t="s">
        <v>41</v>
      </c>
    </row>
    <row r="19" ht="22" customHeight="1" spans="1:7" x14ac:dyDescent="0.25">
      <c r="A19" s="12">
        <v>12</v>
      </c>
      <c r="B19" s="12" t="s">
        <v>13</v>
      </c>
      <c r="C19" s="13" t="s">
        <v>42</v>
      </c>
      <c r="D19" s="14">
        <v>4500</v>
      </c>
      <c r="E19" s="11" t="s">
        <v>15</v>
      </c>
      <c r="F19" s="12" t="s">
        <v>43</v>
      </c>
      <c r="G19" s="13" t="s">
        <v>44</v>
      </c>
    </row>
    <row r="20" ht="22" customHeight="1" spans="1:7" x14ac:dyDescent="0.25">
      <c r="A20" s="8">
        <v>13</v>
      </c>
      <c r="B20" s="8" t="s">
        <v>13</v>
      </c>
      <c r="C20" s="9" t="s">
        <v>45</v>
      </c>
      <c r="D20" s="10">
        <v>300</v>
      </c>
      <c r="E20" s="11" t="s">
        <v>15</v>
      </c>
      <c r="F20" s="8" t="s">
        <v>37</v>
      </c>
      <c r="G20" s="9" t="s">
        <v>46</v>
      </c>
    </row>
    <row r="21" ht="22" customHeight="1" spans="1:7" x14ac:dyDescent="0.25">
      <c r="A21" s="12">
        <v>14</v>
      </c>
      <c r="B21" s="12" t="s">
        <v>13</v>
      </c>
      <c r="C21" s="13" t="s">
        <v>47</v>
      </c>
      <c r="D21" s="14">
        <v>2150</v>
      </c>
      <c r="E21" s="11" t="s">
        <v>15</v>
      </c>
      <c r="F21" s="12" t="s">
        <v>48</v>
      </c>
      <c r="G21" s="13" t="s">
        <v>49</v>
      </c>
    </row>
    <row r="22" ht="22" customHeight="1" spans="1:7" x14ac:dyDescent="0.25">
      <c r="A22" s="8">
        <v>15</v>
      </c>
      <c r="B22" s="8" t="s">
        <v>13</v>
      </c>
      <c r="C22" s="9" t="s">
        <v>50</v>
      </c>
      <c r="D22" s="10">
        <v>5000</v>
      </c>
      <c r="E22" s="11" t="s">
        <v>15</v>
      </c>
      <c r="F22" s="8" t="s">
        <v>16</v>
      </c>
      <c r="G22" s="9" t="s">
        <v>51</v>
      </c>
    </row>
    <row r="23" ht="22" customHeight="1" spans="1:7" x14ac:dyDescent="0.25">
      <c r="A23" s="12">
        <v>16</v>
      </c>
      <c r="B23" s="12" t="s">
        <v>13</v>
      </c>
      <c r="C23" s="13" t="s">
        <v>52</v>
      </c>
      <c r="D23" s="14">
        <v>2000</v>
      </c>
      <c r="E23" s="11" t="s">
        <v>15</v>
      </c>
      <c r="F23" s="12" t="s">
        <v>19</v>
      </c>
      <c r="G23" s="13" t="s">
        <v>53</v>
      </c>
    </row>
    <row r="24" ht="22" customHeight="1" spans="1:7" x14ac:dyDescent="0.25">
      <c r="A24" s="8">
        <v>17</v>
      </c>
      <c r="B24" s="8" t="s">
        <v>13</v>
      </c>
      <c r="C24" s="9" t="s">
        <v>54</v>
      </c>
      <c r="D24" s="10">
        <v>2000</v>
      </c>
      <c r="E24" s="11" t="s">
        <v>15</v>
      </c>
      <c r="F24" s="8" t="s">
        <v>16</v>
      </c>
      <c r="G24" s="9" t="s">
        <v>28</v>
      </c>
    </row>
    <row r="25" ht="22" customHeight="1" spans="1:7" x14ac:dyDescent="0.25">
      <c r="A25" s="12">
        <v>18</v>
      </c>
      <c r="B25" s="12" t="s">
        <v>13</v>
      </c>
      <c r="C25" s="13" t="s">
        <v>55</v>
      </c>
      <c r="D25" s="14">
        <v>500</v>
      </c>
      <c r="E25" s="11" t="s">
        <v>15</v>
      </c>
      <c r="F25" s="12" t="s">
        <v>37</v>
      </c>
      <c r="G25" s="13" t="s">
        <v>46</v>
      </c>
    </row>
    <row r="26" ht="22" customHeight="1" spans="1:7" x14ac:dyDescent="0.25">
      <c r="A26" s="8">
        <v>19</v>
      </c>
      <c r="B26" s="8" t="s">
        <v>13</v>
      </c>
      <c r="C26" s="9" t="s">
        <v>56</v>
      </c>
      <c r="D26" s="10">
        <v>23000</v>
      </c>
      <c r="E26" s="11" t="s">
        <v>15</v>
      </c>
      <c r="F26" s="8" t="s">
        <v>34</v>
      </c>
      <c r="G26" s="9" t="s">
        <v>57</v>
      </c>
    </row>
    <row r="27" ht="22" customHeight="1" spans="1:7" x14ac:dyDescent="0.25">
      <c r="A27" s="12">
        <v>20</v>
      </c>
      <c r="B27" s="12" t="s">
        <v>13</v>
      </c>
      <c r="C27" s="13" t="s">
        <v>58</v>
      </c>
      <c r="D27" s="14">
        <v>7000</v>
      </c>
      <c r="E27" s="11" t="s">
        <v>15</v>
      </c>
      <c r="F27" s="12" t="s">
        <v>40</v>
      </c>
      <c r="G27" s="13" t="s">
        <v>59</v>
      </c>
    </row>
    <row r="28" ht="22" customHeight="1" spans="1:7" x14ac:dyDescent="0.25">
      <c r="A28" s="8">
        <v>21</v>
      </c>
      <c r="B28" s="8" t="s">
        <v>13</v>
      </c>
      <c r="C28" s="9" t="s">
        <v>60</v>
      </c>
      <c r="D28" s="10">
        <v>1500</v>
      </c>
      <c r="E28" s="11" t="s">
        <v>15</v>
      </c>
      <c r="F28" s="8" t="s">
        <v>43</v>
      </c>
      <c r="G28" s="9" t="s">
        <v>61</v>
      </c>
    </row>
    <row r="29" ht="22" customHeight="1" spans="1:7" x14ac:dyDescent="0.25">
      <c r="A29" s="12">
        <v>22</v>
      </c>
      <c r="B29" s="12" t="s">
        <v>13</v>
      </c>
      <c r="C29" s="13" t="s">
        <v>62</v>
      </c>
      <c r="D29" s="14">
        <v>3000</v>
      </c>
      <c r="E29" s="11" t="s">
        <v>15</v>
      </c>
      <c r="F29" s="12" t="s">
        <v>63</v>
      </c>
      <c r="G29" s="13" t="s">
        <v>64</v>
      </c>
    </row>
    <row r="30" ht="22" customHeight="1" spans="1:7" x14ac:dyDescent="0.25">
      <c r="A30" s="8">
        <v>23</v>
      </c>
      <c r="B30" s="8" t="s">
        <v>13</v>
      </c>
      <c r="C30" s="9" t="s">
        <v>65</v>
      </c>
      <c r="D30" s="10">
        <v>4500</v>
      </c>
      <c r="E30" s="11" t="s">
        <v>15</v>
      </c>
      <c r="F30" s="8" t="s">
        <v>63</v>
      </c>
      <c r="G30" s="9" t="s">
        <v>66</v>
      </c>
    </row>
    <row r="31" ht="22" customHeight="1" spans="1:7" x14ac:dyDescent="0.25">
      <c r="A31" s="12">
        <v>24</v>
      </c>
      <c r="B31" s="12" t="s">
        <v>13</v>
      </c>
      <c r="C31" s="13" t="s">
        <v>67</v>
      </c>
      <c r="D31" s="14">
        <v>460</v>
      </c>
      <c r="E31" s="11" t="s">
        <v>15</v>
      </c>
      <c r="F31" s="12" t="s">
        <v>63</v>
      </c>
      <c r="G31" s="13" t="s">
        <v>68</v>
      </c>
    </row>
    <row r="32" ht="22" customHeight="1" spans="1:7" x14ac:dyDescent="0.25">
      <c r="A32" s="8">
        <v>25</v>
      </c>
      <c r="B32" s="8" t="s">
        <v>13</v>
      </c>
      <c r="C32" s="9" t="s">
        <v>69</v>
      </c>
      <c r="D32" s="10">
        <v>2240</v>
      </c>
      <c r="E32" s="11" t="s">
        <v>15</v>
      </c>
      <c r="F32" s="8" t="s">
        <v>70</v>
      </c>
      <c r="G32" s="9" t="s">
        <v>71</v>
      </c>
    </row>
    <row r="33" ht="22" customHeight="1" spans="1:7" x14ac:dyDescent="0.25">
      <c r="A33" s="12">
        <v>26</v>
      </c>
      <c r="B33" s="12" t="s">
        <v>13</v>
      </c>
      <c r="C33" s="13" t="s">
        <v>72</v>
      </c>
      <c r="D33" s="14">
        <v>1600</v>
      </c>
      <c r="E33" s="11" t="s">
        <v>15</v>
      </c>
      <c r="F33" s="12" t="s">
        <v>16</v>
      </c>
      <c r="G33" s="13" t="s">
        <v>73</v>
      </c>
    </row>
    <row r="34" ht="22" customHeight="1" spans="1:7" x14ac:dyDescent="0.25">
      <c r="A34" s="8">
        <v>27</v>
      </c>
      <c r="B34" s="8" t="s">
        <v>13</v>
      </c>
      <c r="C34" s="9" t="s">
        <v>74</v>
      </c>
      <c r="D34" s="10">
        <v>380</v>
      </c>
      <c r="E34" s="11" t="s">
        <v>15</v>
      </c>
      <c r="F34" s="8" t="s">
        <v>75</v>
      </c>
      <c r="G34" s="9" t="s">
        <v>76</v>
      </c>
    </row>
    <row r="35" ht="22" customHeight="1" spans="1:7" x14ac:dyDescent="0.25">
      <c r="A35" s="12">
        <v>28</v>
      </c>
      <c r="B35" s="12" t="s">
        <v>13</v>
      </c>
      <c r="C35" s="13" t="s">
        <v>77</v>
      </c>
      <c r="D35" s="14">
        <v>6050</v>
      </c>
      <c r="E35" s="11" t="s">
        <v>15</v>
      </c>
      <c r="F35" s="12" t="s">
        <v>78</v>
      </c>
      <c r="G35" s="13" t="s">
        <v>79</v>
      </c>
    </row>
    <row r="36" ht="22" customHeight="1" spans="1:7" x14ac:dyDescent="0.25">
      <c r="A36" s="8">
        <v>29</v>
      </c>
      <c r="B36" s="8" t="s">
        <v>13</v>
      </c>
      <c r="C36" s="9" t="s">
        <v>80</v>
      </c>
      <c r="D36" s="10">
        <v>5000</v>
      </c>
      <c r="E36" s="11" t="s">
        <v>15</v>
      </c>
      <c r="F36" s="8" t="s">
        <v>16</v>
      </c>
      <c r="G36" s="9" t="s">
        <v>81</v>
      </c>
    </row>
    <row r="37" ht="22" customHeight="1" spans="1:7" x14ac:dyDescent="0.25">
      <c r="A37" s="12">
        <v>30</v>
      </c>
      <c r="B37" s="12" t="s">
        <v>13</v>
      </c>
      <c r="C37" s="13" t="s">
        <v>82</v>
      </c>
      <c r="D37" s="14">
        <v>10000</v>
      </c>
      <c r="E37" s="11" t="s">
        <v>15</v>
      </c>
      <c r="F37" s="12" t="s">
        <v>19</v>
      </c>
      <c r="G37" s="13" t="s">
        <v>83</v>
      </c>
    </row>
    <row r="38" ht="22" customHeight="1" spans="1:7" x14ac:dyDescent="0.25">
      <c r="A38" s="8">
        <v>31</v>
      </c>
      <c r="B38" s="8" t="s">
        <v>84</v>
      </c>
      <c r="C38" s="9" t="s">
        <v>85</v>
      </c>
      <c r="D38" s="10">
        <v>5500</v>
      </c>
      <c r="E38" s="11" t="s">
        <v>15</v>
      </c>
      <c r="F38" s="8" t="s">
        <v>43</v>
      </c>
      <c r="G38" s="9" t="s">
        <v>86</v>
      </c>
    </row>
    <row r="39" ht="22" customHeight="1" spans="1:7" x14ac:dyDescent="0.25">
      <c r="A39" s="12">
        <v>32</v>
      </c>
      <c r="B39" s="12" t="s">
        <v>84</v>
      </c>
      <c r="C39" s="13" t="s">
        <v>87</v>
      </c>
      <c r="D39" s="14">
        <v>1000</v>
      </c>
      <c r="E39" s="11" t="s">
        <v>15</v>
      </c>
      <c r="F39" s="12" t="s">
        <v>16</v>
      </c>
      <c r="G39" s="13" t="s">
        <v>88</v>
      </c>
    </row>
    <row r="40" ht="22" customHeight="1" spans="1:7" x14ac:dyDescent="0.25">
      <c r="A40" s="8">
        <v>33</v>
      </c>
      <c r="B40" s="8" t="s">
        <v>84</v>
      </c>
      <c r="C40" s="9" t="s">
        <v>89</v>
      </c>
      <c r="D40" s="10">
        <v>2000</v>
      </c>
      <c r="E40" s="11" t="s">
        <v>15</v>
      </c>
      <c r="F40" s="8" t="s">
        <v>78</v>
      </c>
      <c r="G40" s="9" t="s">
        <v>90</v>
      </c>
    </row>
    <row r="41" ht="22" customHeight="1" spans="1:7" x14ac:dyDescent="0.25">
      <c r="A41" s="12">
        <v>34</v>
      </c>
      <c r="B41" s="12" t="s">
        <v>84</v>
      </c>
      <c r="C41" s="13" t="s">
        <v>91</v>
      </c>
      <c r="D41" s="14">
        <v>300</v>
      </c>
      <c r="E41" s="11" t="s">
        <v>15</v>
      </c>
      <c r="F41" s="12" t="s">
        <v>63</v>
      </c>
      <c r="G41" s="13" t="s">
        <v>92</v>
      </c>
    </row>
    <row r="42" ht="22" customHeight="1" spans="1:7" x14ac:dyDescent="0.25">
      <c r="A42" s="8">
        <v>35</v>
      </c>
      <c r="B42" s="8" t="s">
        <v>84</v>
      </c>
      <c r="C42" s="9" t="s">
        <v>93</v>
      </c>
      <c r="D42" s="10">
        <v>300</v>
      </c>
      <c r="E42" s="11" t="s">
        <v>15</v>
      </c>
      <c r="F42" s="8" t="s">
        <v>22</v>
      </c>
      <c r="G42" s="9" t="s">
        <v>28</v>
      </c>
    </row>
    <row r="43" ht="22" customHeight="1" spans="1:7" x14ac:dyDescent="0.25">
      <c r="A43" s="12">
        <v>36</v>
      </c>
      <c r="B43" s="12" t="s">
        <v>84</v>
      </c>
      <c r="C43" s="13" t="s">
        <v>94</v>
      </c>
      <c r="D43" s="14">
        <v>500</v>
      </c>
      <c r="E43" s="11" t="s">
        <v>15</v>
      </c>
      <c r="F43" s="12" t="s">
        <v>43</v>
      </c>
      <c r="G43" s="13" t="s">
        <v>28</v>
      </c>
    </row>
    <row r="44" ht="22" customHeight="1" spans="1:7" x14ac:dyDescent="0.25">
      <c r="A44" s="8">
        <v>37</v>
      </c>
      <c r="B44" s="8" t="s">
        <v>84</v>
      </c>
      <c r="C44" s="9" t="s">
        <v>95</v>
      </c>
      <c r="D44" s="10">
        <v>100</v>
      </c>
      <c r="E44" s="11" t="s">
        <v>15</v>
      </c>
      <c r="F44" s="8" t="s">
        <v>27</v>
      </c>
      <c r="G44" s="9" t="s">
        <v>28</v>
      </c>
    </row>
    <row r="45" ht="22" customHeight="1" spans="1:7" x14ac:dyDescent="0.25">
      <c r="A45" s="12">
        <v>38</v>
      </c>
      <c r="B45" s="12" t="s">
        <v>84</v>
      </c>
      <c r="C45" s="13" t="s">
        <v>96</v>
      </c>
      <c r="D45" s="14">
        <v>1600</v>
      </c>
      <c r="E45" s="11" t="s">
        <v>15</v>
      </c>
      <c r="F45" s="12" t="s">
        <v>16</v>
      </c>
      <c r="G45" s="13" t="s">
        <v>97</v>
      </c>
    </row>
    <row r="46" ht="22" customHeight="1" spans="1:7" x14ac:dyDescent="0.25">
      <c r="A46" s="8">
        <v>39</v>
      </c>
      <c r="B46" s="8" t="s">
        <v>84</v>
      </c>
      <c r="C46" s="9" t="s">
        <v>98</v>
      </c>
      <c r="D46" s="10">
        <v>9300</v>
      </c>
      <c r="E46" s="11" t="s">
        <v>15</v>
      </c>
      <c r="F46" s="8" t="s">
        <v>22</v>
      </c>
      <c r="G46" s="9" t="s">
        <v>99</v>
      </c>
    </row>
    <row r="47" ht="22" customHeight="1" spans="1:7" x14ac:dyDescent="0.25">
      <c r="A47" s="12">
        <v>40</v>
      </c>
      <c r="B47" s="12" t="s">
        <v>84</v>
      </c>
      <c r="C47" s="13" t="s">
        <v>100</v>
      </c>
      <c r="D47" s="14">
        <v>350</v>
      </c>
      <c r="E47" s="11" t="s">
        <v>15</v>
      </c>
      <c r="F47" s="12" t="s">
        <v>43</v>
      </c>
      <c r="G47" s="13" t="s">
        <v>28</v>
      </c>
    </row>
    <row r="48" ht="22" customHeight="1" spans="1:7" x14ac:dyDescent="0.25">
      <c r="A48" s="8">
        <v>41</v>
      </c>
      <c r="B48" s="8" t="s">
        <v>84</v>
      </c>
      <c r="C48" s="9" t="s">
        <v>101</v>
      </c>
      <c r="D48" s="10">
        <v>500</v>
      </c>
      <c r="E48" s="11" t="s">
        <v>15</v>
      </c>
      <c r="F48" s="8" t="s">
        <v>37</v>
      </c>
      <c r="G48" s="9" t="s">
        <v>28</v>
      </c>
    </row>
    <row r="49" ht="22" customHeight="1" spans="1:7" x14ac:dyDescent="0.25">
      <c r="A49" s="12">
        <v>42</v>
      </c>
      <c r="B49" s="12" t="s">
        <v>84</v>
      </c>
      <c r="C49" s="13" t="s">
        <v>102</v>
      </c>
      <c r="D49" s="14">
        <v>1580</v>
      </c>
      <c r="E49" s="11" t="s">
        <v>15</v>
      </c>
      <c r="F49" s="12" t="s">
        <v>43</v>
      </c>
      <c r="G49" s="13" t="s">
        <v>28</v>
      </c>
    </row>
    <row r="50" ht="22" customHeight="1" spans="1:7" x14ac:dyDescent="0.25">
      <c r="A50" s="8">
        <v>43</v>
      </c>
      <c r="B50" s="8" t="s">
        <v>84</v>
      </c>
      <c r="C50" s="9" t="s">
        <v>103</v>
      </c>
      <c r="D50" s="10">
        <v>3000</v>
      </c>
      <c r="E50" s="11" t="s">
        <v>15</v>
      </c>
      <c r="F50" s="8" t="s">
        <v>16</v>
      </c>
      <c r="G50" s="9" t="s">
        <v>104</v>
      </c>
    </row>
    <row r="51" ht="22" customHeight="1" spans="1:7" x14ac:dyDescent="0.25">
      <c r="A51" s="12">
        <v>44</v>
      </c>
      <c r="B51" s="12" t="s">
        <v>84</v>
      </c>
      <c r="C51" s="13" t="s">
        <v>105</v>
      </c>
      <c r="D51" s="14">
        <v>5000</v>
      </c>
      <c r="E51" s="11" t="s">
        <v>15</v>
      </c>
      <c r="F51" s="12" t="s">
        <v>43</v>
      </c>
      <c r="G51" s="13" t="s">
        <v>106</v>
      </c>
    </row>
    <row r="52" ht="22" customHeight="1" spans="1:7" x14ac:dyDescent="0.25">
      <c r="A52" s="8">
        <v>45</v>
      </c>
      <c r="B52" s="8" t="s">
        <v>84</v>
      </c>
      <c r="C52" s="9" t="s">
        <v>107</v>
      </c>
      <c r="D52" s="10">
        <v>1500</v>
      </c>
      <c r="E52" s="11" t="s">
        <v>15</v>
      </c>
      <c r="F52" s="8" t="s">
        <v>40</v>
      </c>
      <c r="G52" s="9" t="s">
        <v>41</v>
      </c>
    </row>
    <row r="53" ht="22" customHeight="1" spans="1:7" x14ac:dyDescent="0.25">
      <c r="A53" s="12">
        <v>46</v>
      </c>
      <c r="B53" s="12" t="s">
        <v>84</v>
      </c>
      <c r="C53" s="13" t="s">
        <v>108</v>
      </c>
      <c r="D53" s="14">
        <v>500</v>
      </c>
      <c r="E53" s="11" t="s">
        <v>15</v>
      </c>
      <c r="F53" s="12" t="s">
        <v>43</v>
      </c>
      <c r="G53" s="13" t="s">
        <v>28</v>
      </c>
    </row>
    <row r="54" ht="22" customHeight="1" spans="1:7" x14ac:dyDescent="0.25">
      <c r="A54" s="8">
        <v>47</v>
      </c>
      <c r="B54" s="8" t="s">
        <v>84</v>
      </c>
      <c r="C54" s="9" t="s">
        <v>109</v>
      </c>
      <c r="D54" s="10">
        <v>500</v>
      </c>
      <c r="E54" s="11" t="s">
        <v>15</v>
      </c>
      <c r="F54" s="8" t="s">
        <v>40</v>
      </c>
      <c r="G54" s="9" t="s">
        <v>110</v>
      </c>
    </row>
    <row r="55" ht="22" customHeight="1" spans="1:7" x14ac:dyDescent="0.25">
      <c r="A55" s="12">
        <v>48</v>
      </c>
      <c r="B55" s="12" t="s">
        <v>84</v>
      </c>
      <c r="C55" s="13" t="s">
        <v>111</v>
      </c>
      <c r="D55" s="14">
        <v>300</v>
      </c>
      <c r="E55" s="11" t="s">
        <v>15</v>
      </c>
      <c r="F55" s="12" t="s">
        <v>78</v>
      </c>
      <c r="G55" s="13" t="s">
        <v>112</v>
      </c>
    </row>
    <row r="56" ht="22" customHeight="1" spans="1:7" x14ac:dyDescent="0.25">
      <c r="A56" s="8">
        <v>49</v>
      </c>
      <c r="B56" s="8" t="s">
        <v>84</v>
      </c>
      <c r="C56" s="9" t="s">
        <v>113</v>
      </c>
      <c r="D56" s="10">
        <v>120</v>
      </c>
      <c r="E56" s="11" t="s">
        <v>15</v>
      </c>
      <c r="F56" s="8" t="s">
        <v>34</v>
      </c>
      <c r="G56" s="9" t="s">
        <v>114</v>
      </c>
    </row>
    <row r="57" ht="22" customHeight="1" spans="1:7" x14ac:dyDescent="0.25">
      <c r="A57" s="12">
        <v>50</v>
      </c>
      <c r="B57" s="12" t="s">
        <v>84</v>
      </c>
      <c r="C57" s="13" t="s">
        <v>115</v>
      </c>
      <c r="D57" s="14">
        <v>1600</v>
      </c>
      <c r="E57" s="11" t="s">
        <v>15</v>
      </c>
      <c r="F57" s="12" t="s">
        <v>37</v>
      </c>
      <c r="G57" s="13" t="s">
        <v>46</v>
      </c>
    </row>
    <row r="58" ht="22" customHeight="1" spans="1:7" x14ac:dyDescent="0.25">
      <c r="A58" s="8">
        <v>51</v>
      </c>
      <c r="B58" s="8" t="s">
        <v>84</v>
      </c>
      <c r="C58" s="9" t="s">
        <v>116</v>
      </c>
      <c r="D58" s="10">
        <v>15000</v>
      </c>
      <c r="E58" s="11" t="s">
        <v>15</v>
      </c>
      <c r="F58" s="8" t="s">
        <v>19</v>
      </c>
      <c r="G58" s="9" t="s">
        <v>117</v>
      </c>
    </row>
    <row r="59" ht="22" customHeight="1" spans="1:7" x14ac:dyDescent="0.25">
      <c r="A59" s="12">
        <v>52</v>
      </c>
      <c r="B59" s="12" t="s">
        <v>84</v>
      </c>
      <c r="C59" s="13" t="s">
        <v>118</v>
      </c>
      <c r="D59" s="14">
        <v>300</v>
      </c>
      <c r="E59" s="11" t="s">
        <v>15</v>
      </c>
      <c r="F59" s="12" t="s">
        <v>119</v>
      </c>
      <c r="G59" s="13" t="s">
        <v>28</v>
      </c>
    </row>
    <row r="60" ht="22" customHeight="1" spans="1:7" x14ac:dyDescent="0.25">
      <c r="A60" s="8">
        <v>53</v>
      </c>
      <c r="B60" s="8" t="s">
        <v>84</v>
      </c>
      <c r="C60" s="9" t="s">
        <v>120</v>
      </c>
      <c r="D60" s="10">
        <v>1700</v>
      </c>
      <c r="E60" s="11" t="s">
        <v>15</v>
      </c>
      <c r="F60" s="8" t="s">
        <v>40</v>
      </c>
      <c r="G60" s="9" t="s">
        <v>121</v>
      </c>
    </row>
    <row r="61" ht="22" customHeight="1" spans="1:7" x14ac:dyDescent="0.25">
      <c r="A61" s="12">
        <v>54</v>
      </c>
      <c r="B61" s="12" t="s">
        <v>84</v>
      </c>
      <c r="C61" s="13" t="s">
        <v>122</v>
      </c>
      <c r="D61" s="14">
        <v>1400</v>
      </c>
      <c r="E61" s="11" t="s">
        <v>15</v>
      </c>
      <c r="F61" s="12" t="s">
        <v>43</v>
      </c>
      <c r="G61" s="13" t="s">
        <v>28</v>
      </c>
    </row>
    <row r="62" ht="22" customHeight="1" spans="1:7" x14ac:dyDescent="0.25">
      <c r="A62" s="8">
        <v>55</v>
      </c>
      <c r="B62" s="8" t="s">
        <v>84</v>
      </c>
      <c r="C62" s="9" t="s">
        <v>123</v>
      </c>
      <c r="D62" s="10">
        <v>1300</v>
      </c>
      <c r="E62" s="11" t="s">
        <v>15</v>
      </c>
      <c r="F62" s="8" t="s">
        <v>40</v>
      </c>
      <c r="G62" s="9" t="s">
        <v>124</v>
      </c>
    </row>
    <row r="63" ht="22" customHeight="1" spans="1:7" x14ac:dyDescent="0.25">
      <c r="A63" s="12">
        <v>56</v>
      </c>
      <c r="B63" s="12" t="s">
        <v>84</v>
      </c>
      <c r="C63" s="13" t="s">
        <v>125</v>
      </c>
      <c r="D63" s="14">
        <v>600</v>
      </c>
      <c r="E63" s="11" t="s">
        <v>15</v>
      </c>
      <c r="F63" s="12" t="s">
        <v>37</v>
      </c>
      <c r="G63" s="13" t="s">
        <v>28</v>
      </c>
    </row>
    <row r="64" ht="22" customHeight="1" spans="1:7" x14ac:dyDescent="0.25">
      <c r="A64" s="8">
        <v>57</v>
      </c>
      <c r="B64" s="8" t="s">
        <v>84</v>
      </c>
      <c r="C64" s="9" t="s">
        <v>126</v>
      </c>
      <c r="D64" s="10">
        <v>1300</v>
      </c>
      <c r="E64" s="11" t="s">
        <v>15</v>
      </c>
      <c r="F64" s="8" t="s">
        <v>40</v>
      </c>
      <c r="G64" s="9" t="s">
        <v>127</v>
      </c>
    </row>
    <row r="65" ht="22" customHeight="1" spans="1:7" x14ac:dyDescent="0.25">
      <c r="A65" s="12">
        <v>58</v>
      </c>
      <c r="B65" s="12" t="s">
        <v>84</v>
      </c>
      <c r="C65" s="13" t="s">
        <v>128</v>
      </c>
      <c r="D65" s="14">
        <v>5000</v>
      </c>
      <c r="E65" s="11" t="s">
        <v>15</v>
      </c>
      <c r="F65" s="12" t="s">
        <v>19</v>
      </c>
      <c r="G65" s="13" t="s">
        <v>129</v>
      </c>
    </row>
    <row r="66" ht="22" customHeight="1" spans="1:7" x14ac:dyDescent="0.25">
      <c r="A66" s="8">
        <v>59</v>
      </c>
      <c r="B66" s="8" t="s">
        <v>84</v>
      </c>
      <c r="C66" s="9" t="s">
        <v>130</v>
      </c>
      <c r="D66" s="10">
        <v>35000</v>
      </c>
      <c r="E66" s="11" t="s">
        <v>15</v>
      </c>
      <c r="F66" s="8" t="s">
        <v>43</v>
      </c>
      <c r="G66" s="9" t="s">
        <v>131</v>
      </c>
    </row>
    <row r="67" ht="22" customHeight="1" spans="1:7" x14ac:dyDescent="0.25">
      <c r="A67" s="12">
        <v>60</v>
      </c>
      <c r="B67" s="12" t="s">
        <v>84</v>
      </c>
      <c r="C67" s="13" t="s">
        <v>132</v>
      </c>
      <c r="D67" s="14">
        <v>1000</v>
      </c>
      <c r="E67" s="11" t="s">
        <v>15</v>
      </c>
      <c r="F67" s="12" t="s">
        <v>16</v>
      </c>
      <c r="G67" s="13" t="s">
        <v>133</v>
      </c>
    </row>
    <row r="68" ht="22" customHeight="1" spans="1:7" x14ac:dyDescent="0.25">
      <c r="A68" s="8">
        <v>61</v>
      </c>
      <c r="B68" s="8" t="s">
        <v>134</v>
      </c>
      <c r="C68" s="9" t="s">
        <v>135</v>
      </c>
      <c r="D68" s="10">
        <v>1000</v>
      </c>
      <c r="E68" s="11" t="s">
        <v>15</v>
      </c>
      <c r="F68" s="8" t="s">
        <v>34</v>
      </c>
      <c r="G68" s="9" t="s">
        <v>28</v>
      </c>
    </row>
    <row r="69" ht="22" customHeight="1" spans="1:7" x14ac:dyDescent="0.25">
      <c r="A69" s="12">
        <v>62</v>
      </c>
      <c r="B69" s="12" t="s">
        <v>134</v>
      </c>
      <c r="C69" s="13" t="s">
        <v>136</v>
      </c>
      <c r="D69" s="14">
        <v>3300</v>
      </c>
      <c r="E69" s="11" t="s">
        <v>15</v>
      </c>
      <c r="F69" s="12" t="s">
        <v>34</v>
      </c>
      <c r="G69" s="13" t="s">
        <v>137</v>
      </c>
    </row>
    <row r="70" ht="22" customHeight="1" spans="1:7" x14ac:dyDescent="0.25">
      <c r="A70" s="8">
        <v>63</v>
      </c>
      <c r="B70" s="8" t="s">
        <v>134</v>
      </c>
      <c r="C70" s="9" t="s">
        <v>138</v>
      </c>
      <c r="D70" s="10">
        <v>15000</v>
      </c>
      <c r="E70" s="11" t="s">
        <v>15</v>
      </c>
      <c r="F70" s="8" t="s">
        <v>16</v>
      </c>
      <c r="G70" s="9" t="s">
        <v>139</v>
      </c>
    </row>
    <row r="71" ht="22" customHeight="1" spans="1:7" x14ac:dyDescent="0.25">
      <c r="A71" s="12">
        <v>64</v>
      </c>
      <c r="B71" s="12" t="s">
        <v>134</v>
      </c>
      <c r="C71" s="13" t="s">
        <v>140</v>
      </c>
      <c r="D71" s="14">
        <v>5000</v>
      </c>
      <c r="E71" s="11" t="s">
        <v>15</v>
      </c>
      <c r="F71" s="12" t="s">
        <v>141</v>
      </c>
      <c r="G71" s="13" t="s">
        <v>142</v>
      </c>
    </row>
    <row r="72" ht="22" customHeight="1" spans="1:7" x14ac:dyDescent="0.25">
      <c r="A72" s="8">
        <v>65</v>
      </c>
      <c r="B72" s="8" t="s">
        <v>134</v>
      </c>
      <c r="C72" s="9" t="s">
        <v>143</v>
      </c>
      <c r="D72" s="10">
        <v>1000</v>
      </c>
      <c r="E72" s="11" t="s">
        <v>15</v>
      </c>
      <c r="F72" s="8" t="s">
        <v>34</v>
      </c>
      <c r="G72" s="9" t="s">
        <v>144</v>
      </c>
    </row>
    <row r="73" ht="22" customHeight="1" spans="1:7" x14ac:dyDescent="0.25">
      <c r="A73" s="12">
        <v>66</v>
      </c>
      <c r="B73" s="12" t="s">
        <v>134</v>
      </c>
      <c r="C73" s="13" t="s">
        <v>145</v>
      </c>
      <c r="D73" s="14">
        <v>600</v>
      </c>
      <c r="E73" s="11" t="s">
        <v>15</v>
      </c>
      <c r="F73" s="12" t="s">
        <v>19</v>
      </c>
      <c r="G73" s="13" t="s">
        <v>146</v>
      </c>
    </row>
    <row r="74" ht="22" customHeight="1" spans="1:7" x14ac:dyDescent="0.25">
      <c r="A74" s="8">
        <v>67</v>
      </c>
      <c r="B74" s="8" t="s">
        <v>134</v>
      </c>
      <c r="C74" s="9" t="s">
        <v>30</v>
      </c>
      <c r="D74" s="10">
        <v>120</v>
      </c>
      <c r="E74" s="11" t="s">
        <v>15</v>
      </c>
      <c r="F74" s="8" t="s">
        <v>27</v>
      </c>
      <c r="G74" s="9" t="s">
        <v>28</v>
      </c>
    </row>
    <row r="75" ht="22" customHeight="1" spans="1:7" x14ac:dyDescent="0.25">
      <c r="A75" s="12">
        <v>68</v>
      </c>
      <c r="B75" s="12" t="s">
        <v>134</v>
      </c>
      <c r="C75" s="13" t="s">
        <v>147</v>
      </c>
      <c r="D75" s="14">
        <v>1300</v>
      </c>
      <c r="E75" s="11" t="s">
        <v>15</v>
      </c>
      <c r="F75" s="12" t="s">
        <v>43</v>
      </c>
      <c r="G75" s="13" t="s">
        <v>28</v>
      </c>
    </row>
    <row r="76" ht="22" customHeight="1" spans="1:7" x14ac:dyDescent="0.25">
      <c r="A76" s="8">
        <v>69</v>
      </c>
      <c r="B76" s="8" t="s">
        <v>134</v>
      </c>
      <c r="C76" s="9" t="s">
        <v>148</v>
      </c>
      <c r="D76" s="10">
        <v>1400</v>
      </c>
      <c r="E76" s="11" t="s">
        <v>15</v>
      </c>
      <c r="F76" s="8" t="s">
        <v>27</v>
      </c>
      <c r="G76" s="9" t="s">
        <v>149</v>
      </c>
    </row>
    <row r="77" ht="22" customHeight="1" spans="1:7" x14ac:dyDescent="0.25">
      <c r="A77" s="12">
        <v>70</v>
      </c>
      <c r="B77" s="12" t="s">
        <v>134</v>
      </c>
      <c r="C77" s="13" t="s">
        <v>150</v>
      </c>
      <c r="D77" s="14">
        <v>400</v>
      </c>
      <c r="E77" s="11" t="s">
        <v>15</v>
      </c>
      <c r="F77" s="12" t="s">
        <v>16</v>
      </c>
      <c r="G77" s="13" t="s">
        <v>73</v>
      </c>
    </row>
    <row r="78" ht="22" customHeight="1" spans="1:7" x14ac:dyDescent="0.25">
      <c r="A78" s="8">
        <v>71</v>
      </c>
      <c r="B78" s="8" t="s">
        <v>134</v>
      </c>
      <c r="C78" s="9" t="s">
        <v>151</v>
      </c>
      <c r="D78" s="10">
        <v>1800</v>
      </c>
      <c r="E78" s="11" t="s">
        <v>15</v>
      </c>
      <c r="F78" s="8" t="s">
        <v>34</v>
      </c>
      <c r="G78" s="9" t="s">
        <v>28</v>
      </c>
    </row>
    <row r="79" ht="22" customHeight="1" spans="1:7" x14ac:dyDescent="0.25">
      <c r="A79" s="12">
        <v>72</v>
      </c>
      <c r="B79" s="12" t="s">
        <v>134</v>
      </c>
      <c r="C79" s="13" t="s">
        <v>152</v>
      </c>
      <c r="D79" s="14">
        <v>1200</v>
      </c>
      <c r="E79" s="11" t="s">
        <v>15</v>
      </c>
      <c r="F79" s="12" t="s">
        <v>27</v>
      </c>
      <c r="G79" s="13" t="s">
        <v>153</v>
      </c>
    </row>
    <row r="80" ht="22" customHeight="1" spans="1:7" x14ac:dyDescent="0.25">
      <c r="A80" s="8">
        <v>73</v>
      </c>
      <c r="B80" s="8" t="s">
        <v>134</v>
      </c>
      <c r="C80" s="9" t="s">
        <v>154</v>
      </c>
      <c r="D80" s="10">
        <v>200</v>
      </c>
      <c r="E80" s="11" t="s">
        <v>15</v>
      </c>
      <c r="F80" s="8" t="s">
        <v>75</v>
      </c>
      <c r="G80" s="9" t="s">
        <v>155</v>
      </c>
    </row>
    <row r="81" ht="22" customHeight="1" spans="1:7" x14ac:dyDescent="0.25">
      <c r="A81" s="12">
        <v>74</v>
      </c>
      <c r="B81" s="12" t="s">
        <v>134</v>
      </c>
      <c r="C81" s="13" t="s">
        <v>156</v>
      </c>
      <c r="D81" s="14">
        <v>1600</v>
      </c>
      <c r="E81" s="11" t="s">
        <v>15</v>
      </c>
      <c r="F81" s="12" t="s">
        <v>34</v>
      </c>
      <c r="G81" s="13" t="s">
        <v>28</v>
      </c>
    </row>
    <row r="82" ht="22" customHeight="1" spans="1:7" x14ac:dyDescent="0.25">
      <c r="A82" s="8">
        <v>75</v>
      </c>
      <c r="B82" s="8" t="s">
        <v>134</v>
      </c>
      <c r="C82" s="9" t="s">
        <v>157</v>
      </c>
      <c r="D82" s="10">
        <v>17400</v>
      </c>
      <c r="E82" s="11" t="s">
        <v>15</v>
      </c>
      <c r="F82" s="8" t="s">
        <v>34</v>
      </c>
      <c r="G82" s="9" t="s">
        <v>158</v>
      </c>
    </row>
    <row r="83" ht="22" customHeight="1" spans="1:7" x14ac:dyDescent="0.25">
      <c r="A83" s="12">
        <v>76</v>
      </c>
      <c r="B83" s="12" t="s">
        <v>134</v>
      </c>
      <c r="C83" s="13" t="s">
        <v>159</v>
      </c>
      <c r="D83" s="14">
        <v>5000</v>
      </c>
      <c r="E83" s="11" t="s">
        <v>15</v>
      </c>
      <c r="F83" s="12" t="s">
        <v>78</v>
      </c>
      <c r="G83" s="13" t="s">
        <v>160</v>
      </c>
    </row>
    <row r="84" ht="22" customHeight="1" spans="1:7" x14ac:dyDescent="0.25">
      <c r="A84" s="8">
        <v>77</v>
      </c>
      <c r="B84" s="8" t="s">
        <v>134</v>
      </c>
      <c r="C84" s="9" t="s">
        <v>161</v>
      </c>
      <c r="D84" s="10">
        <v>200</v>
      </c>
      <c r="E84" s="11" t="s">
        <v>15</v>
      </c>
      <c r="F84" s="8" t="s">
        <v>16</v>
      </c>
      <c r="G84" s="9" t="s">
        <v>162</v>
      </c>
    </row>
    <row r="85" ht="22" customHeight="1" spans="1:7" x14ac:dyDescent="0.25">
      <c r="A85" s="12">
        <v>78</v>
      </c>
      <c r="B85" s="12" t="s">
        <v>134</v>
      </c>
      <c r="C85" s="13" t="s">
        <v>163</v>
      </c>
      <c r="D85" s="14">
        <v>350</v>
      </c>
      <c r="E85" s="11" t="s">
        <v>15</v>
      </c>
      <c r="F85" s="12" t="s">
        <v>43</v>
      </c>
      <c r="G85" s="13" t="s">
        <v>28</v>
      </c>
    </row>
    <row r="86" ht="22" customHeight="1" spans="1:7" x14ac:dyDescent="0.25">
      <c r="A86" s="8">
        <v>79</v>
      </c>
      <c r="B86" s="8" t="s">
        <v>134</v>
      </c>
      <c r="C86" s="9" t="s">
        <v>164</v>
      </c>
      <c r="D86" s="10">
        <v>1000</v>
      </c>
      <c r="E86" s="11" t="s">
        <v>15</v>
      </c>
      <c r="F86" s="8" t="s">
        <v>43</v>
      </c>
      <c r="G86" s="9" t="s">
        <v>28</v>
      </c>
    </row>
    <row r="87" ht="22" customHeight="1" spans="1:7" x14ac:dyDescent="0.25">
      <c r="A87" s="12">
        <v>80</v>
      </c>
      <c r="B87" s="12" t="s">
        <v>134</v>
      </c>
      <c r="C87" s="13" t="s">
        <v>165</v>
      </c>
      <c r="D87" s="14">
        <v>900</v>
      </c>
      <c r="E87" s="11" t="s">
        <v>15</v>
      </c>
      <c r="F87" s="12" t="s">
        <v>34</v>
      </c>
      <c r="G87" s="13" t="s">
        <v>28</v>
      </c>
    </row>
    <row r="88" ht="22" customHeight="1" spans="1:7" x14ac:dyDescent="0.25">
      <c r="A88" s="8">
        <v>81</v>
      </c>
      <c r="B88" s="8" t="s">
        <v>134</v>
      </c>
      <c r="C88" s="9" t="s">
        <v>166</v>
      </c>
      <c r="D88" s="10">
        <v>4300</v>
      </c>
      <c r="E88" s="11" t="s">
        <v>15</v>
      </c>
      <c r="F88" s="8" t="s">
        <v>78</v>
      </c>
      <c r="G88" s="9" t="s">
        <v>167</v>
      </c>
    </row>
    <row r="89" ht="22" customHeight="1" spans="1:7" x14ac:dyDescent="0.25">
      <c r="A89" s="12">
        <v>82</v>
      </c>
      <c r="B89" s="12" t="s">
        <v>134</v>
      </c>
      <c r="C89" s="13" t="s">
        <v>168</v>
      </c>
      <c r="D89" s="14">
        <v>27000</v>
      </c>
      <c r="E89" s="11" t="s">
        <v>15</v>
      </c>
      <c r="F89" s="12" t="s">
        <v>34</v>
      </c>
      <c r="G89" s="13" t="s">
        <v>169</v>
      </c>
    </row>
    <row r="90" ht="22" customHeight="1" spans="1:7" x14ac:dyDescent="0.25">
      <c r="A90" s="8">
        <v>83</v>
      </c>
      <c r="B90" s="8" t="s">
        <v>134</v>
      </c>
      <c r="C90" s="9" t="s">
        <v>170</v>
      </c>
      <c r="D90" s="10">
        <v>7000</v>
      </c>
      <c r="E90" s="11" t="s">
        <v>15</v>
      </c>
      <c r="F90" s="8" t="s">
        <v>22</v>
      </c>
      <c r="G90" s="9" t="s">
        <v>171</v>
      </c>
    </row>
    <row r="91" ht="22" customHeight="1" spans="1:7" x14ac:dyDescent="0.25">
      <c r="A91" s="12">
        <v>84</v>
      </c>
      <c r="B91" s="12" t="s">
        <v>134</v>
      </c>
      <c r="C91" s="13" t="s">
        <v>172</v>
      </c>
      <c r="D91" s="14">
        <v>500</v>
      </c>
      <c r="E91" s="11" t="s">
        <v>15</v>
      </c>
      <c r="F91" s="12" t="s">
        <v>16</v>
      </c>
      <c r="G91" s="13" t="s">
        <v>173</v>
      </c>
    </row>
    <row r="92" ht="22" customHeight="1" spans="1:7" x14ac:dyDescent="0.25">
      <c r="A92" s="8">
        <v>85</v>
      </c>
      <c r="B92" s="8" t="s">
        <v>134</v>
      </c>
      <c r="C92" s="9" t="s">
        <v>174</v>
      </c>
      <c r="D92" s="10">
        <v>2000</v>
      </c>
      <c r="E92" s="11" t="s">
        <v>15</v>
      </c>
      <c r="F92" s="8" t="s">
        <v>16</v>
      </c>
      <c r="G92" s="9" t="s">
        <v>175</v>
      </c>
    </row>
    <row r="93" ht="22" customHeight="1" spans="1:7" x14ac:dyDescent="0.25">
      <c r="A93" s="12">
        <v>86</v>
      </c>
      <c r="B93" s="12" t="s">
        <v>134</v>
      </c>
      <c r="C93" s="13" t="s">
        <v>176</v>
      </c>
      <c r="D93" s="14">
        <v>5000</v>
      </c>
      <c r="E93" s="11" t="s">
        <v>15</v>
      </c>
      <c r="F93" s="12" t="s">
        <v>16</v>
      </c>
      <c r="G93" s="13" t="s">
        <v>28</v>
      </c>
    </row>
    <row r="94" ht="22" customHeight="1" spans="1:7" x14ac:dyDescent="0.25">
      <c r="A94" s="8">
        <v>87</v>
      </c>
      <c r="B94" s="8" t="s">
        <v>134</v>
      </c>
      <c r="C94" s="9" t="s">
        <v>177</v>
      </c>
      <c r="D94" s="10">
        <v>6700</v>
      </c>
      <c r="E94" s="11" t="s">
        <v>15</v>
      </c>
      <c r="F94" s="8" t="s">
        <v>48</v>
      </c>
      <c r="G94" s="9" t="s">
        <v>178</v>
      </c>
    </row>
    <row r="95" ht="22" customHeight="1" spans="1:7" x14ac:dyDescent="0.25">
      <c r="A95" s="12">
        <v>88</v>
      </c>
      <c r="B95" s="12" t="s">
        <v>134</v>
      </c>
      <c r="C95" s="13" t="s">
        <v>179</v>
      </c>
      <c r="D95" s="14">
        <v>1200</v>
      </c>
      <c r="E95" s="11" t="s">
        <v>15</v>
      </c>
      <c r="F95" s="12" t="s">
        <v>48</v>
      </c>
      <c r="G95" s="13" t="s">
        <v>180</v>
      </c>
    </row>
    <row r="96" ht="22" customHeight="1" spans="1:7" x14ac:dyDescent="0.25">
      <c r="A96" s="8">
        <v>89</v>
      </c>
      <c r="B96" s="8" t="s">
        <v>134</v>
      </c>
      <c r="C96" s="9" t="s">
        <v>181</v>
      </c>
      <c r="D96" s="10">
        <v>750</v>
      </c>
      <c r="E96" s="11" t="s">
        <v>15</v>
      </c>
      <c r="F96" s="8" t="s">
        <v>48</v>
      </c>
      <c r="G96" s="9" t="s">
        <v>28</v>
      </c>
    </row>
    <row r="97" ht="22" customHeight="1" spans="1:7" x14ac:dyDescent="0.25">
      <c r="A97" s="12">
        <v>90</v>
      </c>
      <c r="B97" s="12" t="s">
        <v>134</v>
      </c>
      <c r="C97" s="13" t="s">
        <v>182</v>
      </c>
      <c r="D97" s="14">
        <v>400</v>
      </c>
      <c r="E97" s="11" t="s">
        <v>15</v>
      </c>
      <c r="F97" s="12" t="s">
        <v>48</v>
      </c>
      <c r="G97" s="13" t="s">
        <v>28</v>
      </c>
    </row>
    <row r="98" ht="22" customHeight="1" spans="1:7" x14ac:dyDescent="0.25">
      <c r="A98" s="8">
        <v>91</v>
      </c>
      <c r="B98" s="8" t="s">
        <v>134</v>
      </c>
      <c r="C98" s="9" t="s">
        <v>183</v>
      </c>
      <c r="D98" s="10">
        <v>1500</v>
      </c>
      <c r="E98" s="11" t="s">
        <v>15</v>
      </c>
      <c r="F98" s="8" t="s">
        <v>48</v>
      </c>
      <c r="G98" s="9" t="s">
        <v>184</v>
      </c>
    </row>
    <row r="99" ht="22" customHeight="1" spans="1:7" x14ac:dyDescent="0.25">
      <c r="A99" s="12">
        <v>92</v>
      </c>
      <c r="B99" s="12" t="s">
        <v>185</v>
      </c>
      <c r="C99" s="13" t="s">
        <v>186</v>
      </c>
      <c r="D99" s="14">
        <v>6200</v>
      </c>
      <c r="E99" s="11" t="s">
        <v>15</v>
      </c>
      <c r="F99" s="12" t="s">
        <v>63</v>
      </c>
      <c r="G99" s="13" t="s">
        <v>28</v>
      </c>
    </row>
    <row r="100" ht="22" customHeight="1" spans="1:7" x14ac:dyDescent="0.25">
      <c r="A100" s="8">
        <v>93</v>
      </c>
      <c r="B100" s="8" t="s">
        <v>185</v>
      </c>
      <c r="C100" s="9" t="s">
        <v>187</v>
      </c>
      <c r="D100" s="10">
        <v>3000</v>
      </c>
      <c r="E100" s="11" t="s">
        <v>15</v>
      </c>
      <c r="F100" s="8" t="s">
        <v>63</v>
      </c>
      <c r="G100" s="9" t="s">
        <v>188</v>
      </c>
    </row>
    <row r="101" ht="22" customHeight="1" spans="1:7" x14ac:dyDescent="0.25">
      <c r="A101" s="12">
        <v>94</v>
      </c>
      <c r="B101" s="12" t="s">
        <v>185</v>
      </c>
      <c r="C101" s="13" t="s">
        <v>189</v>
      </c>
      <c r="D101" s="14">
        <v>2100</v>
      </c>
      <c r="E101" s="11" t="s">
        <v>15</v>
      </c>
      <c r="F101" s="12" t="s">
        <v>78</v>
      </c>
      <c r="G101" s="13" t="s">
        <v>190</v>
      </c>
    </row>
    <row r="102" ht="22" customHeight="1" spans="1:7" x14ac:dyDescent="0.25">
      <c r="A102" s="8">
        <v>95</v>
      </c>
      <c r="B102" s="8" t="s">
        <v>185</v>
      </c>
      <c r="C102" s="9" t="s">
        <v>191</v>
      </c>
      <c r="D102" s="10">
        <v>10000</v>
      </c>
      <c r="E102" s="11" t="s">
        <v>15</v>
      </c>
      <c r="F102" s="8" t="s">
        <v>22</v>
      </c>
      <c r="G102" s="9" t="s">
        <v>192</v>
      </c>
    </row>
    <row r="103" ht="22" customHeight="1" spans="1:7" x14ac:dyDescent="0.25">
      <c r="A103" s="12">
        <v>96</v>
      </c>
      <c r="B103" s="12" t="s">
        <v>185</v>
      </c>
      <c r="C103" s="13" t="s">
        <v>161</v>
      </c>
      <c r="D103" s="14">
        <v>1000</v>
      </c>
      <c r="E103" s="11" t="s">
        <v>15</v>
      </c>
      <c r="F103" s="12" t="s">
        <v>16</v>
      </c>
      <c r="G103" s="13" t="s">
        <v>193</v>
      </c>
    </row>
    <row r="104" ht="22" customHeight="1" spans="1:7" x14ac:dyDescent="0.25">
      <c r="A104" s="8">
        <v>97</v>
      </c>
      <c r="B104" s="8" t="s">
        <v>185</v>
      </c>
      <c r="C104" s="9" t="s">
        <v>194</v>
      </c>
      <c r="D104" s="10">
        <v>1200</v>
      </c>
      <c r="E104" s="11" t="s">
        <v>15</v>
      </c>
      <c r="F104" s="8" t="s">
        <v>37</v>
      </c>
      <c r="G104" s="9" t="s">
        <v>195</v>
      </c>
    </row>
    <row r="105" ht="22" customHeight="1" spans="1:7" x14ac:dyDescent="0.25">
      <c r="A105" s="12">
        <v>98</v>
      </c>
      <c r="B105" s="12" t="s">
        <v>185</v>
      </c>
      <c r="C105" s="13" t="s">
        <v>196</v>
      </c>
      <c r="D105" s="14">
        <v>13300</v>
      </c>
      <c r="E105" s="11" t="s">
        <v>15</v>
      </c>
      <c r="F105" s="12" t="s">
        <v>75</v>
      </c>
      <c r="G105" s="13" t="s">
        <v>197</v>
      </c>
    </row>
    <row r="106" ht="22" customHeight="1" spans="1:7" x14ac:dyDescent="0.25">
      <c r="A106" s="8">
        <v>99</v>
      </c>
      <c r="B106" s="8" t="s">
        <v>185</v>
      </c>
      <c r="C106" s="9" t="s">
        <v>198</v>
      </c>
      <c r="D106" s="10">
        <v>2000</v>
      </c>
      <c r="E106" s="11" t="s">
        <v>15</v>
      </c>
      <c r="F106" s="8" t="s">
        <v>78</v>
      </c>
      <c r="G106" s="9" t="s">
        <v>199</v>
      </c>
    </row>
    <row r="107" ht="22" customHeight="1" spans="1:7" x14ac:dyDescent="0.25">
      <c r="A107" s="12">
        <v>100</v>
      </c>
      <c r="B107" s="12" t="s">
        <v>185</v>
      </c>
      <c r="C107" s="13" t="s">
        <v>200</v>
      </c>
      <c r="D107" s="14">
        <v>500</v>
      </c>
      <c r="E107" s="11" t="s">
        <v>15</v>
      </c>
      <c r="F107" s="12" t="s">
        <v>27</v>
      </c>
      <c r="G107" s="13" t="s">
        <v>201</v>
      </c>
    </row>
    <row r="108" ht="22" customHeight="1" spans="1:7" x14ac:dyDescent="0.25">
      <c r="A108" s="8">
        <v>101</v>
      </c>
      <c r="B108" s="8" t="s">
        <v>185</v>
      </c>
      <c r="C108" s="9" t="s">
        <v>202</v>
      </c>
      <c r="D108" s="10">
        <v>550</v>
      </c>
      <c r="E108" s="11" t="s">
        <v>15</v>
      </c>
      <c r="F108" s="8" t="s">
        <v>27</v>
      </c>
      <c r="G108" s="9" t="s">
        <v>28</v>
      </c>
    </row>
    <row r="109" ht="22" customHeight="1" spans="1:7" x14ac:dyDescent="0.25">
      <c r="A109" s="12">
        <v>102</v>
      </c>
      <c r="B109" s="12" t="s">
        <v>185</v>
      </c>
      <c r="C109" s="13" t="s">
        <v>203</v>
      </c>
      <c r="D109" s="14">
        <v>500</v>
      </c>
      <c r="E109" s="11" t="s">
        <v>15</v>
      </c>
      <c r="F109" s="12" t="s">
        <v>16</v>
      </c>
      <c r="G109" s="13" t="s">
        <v>204</v>
      </c>
    </row>
    <row r="110" ht="22" customHeight="1" spans="1:7" x14ac:dyDescent="0.25">
      <c r="A110" s="8">
        <v>103</v>
      </c>
      <c r="B110" s="8" t="s">
        <v>185</v>
      </c>
      <c r="C110" s="9" t="s">
        <v>205</v>
      </c>
      <c r="D110" s="10">
        <v>3500</v>
      </c>
      <c r="E110" s="11" t="s">
        <v>15</v>
      </c>
      <c r="F110" s="8" t="s">
        <v>16</v>
      </c>
      <c r="G110" s="9" t="s">
        <v>28</v>
      </c>
    </row>
    <row r="111" ht="22" customHeight="1" spans="1:7" x14ac:dyDescent="0.25">
      <c r="A111" s="12">
        <v>104</v>
      </c>
      <c r="B111" s="12" t="s">
        <v>185</v>
      </c>
      <c r="C111" s="13" t="s">
        <v>206</v>
      </c>
      <c r="D111" s="14">
        <v>5500</v>
      </c>
      <c r="E111" s="11" t="s">
        <v>15</v>
      </c>
      <c r="F111" s="12" t="s">
        <v>22</v>
      </c>
      <c r="G111" s="13" t="s">
        <v>207</v>
      </c>
    </row>
    <row r="112" ht="22" customHeight="1" spans="1:7" x14ac:dyDescent="0.25">
      <c r="A112" s="8">
        <v>105</v>
      </c>
      <c r="B112" s="8" t="s">
        <v>185</v>
      </c>
      <c r="C112" s="9" t="s">
        <v>208</v>
      </c>
      <c r="D112" s="10">
        <v>250</v>
      </c>
      <c r="E112" s="11" t="s">
        <v>15</v>
      </c>
      <c r="F112" s="8" t="s">
        <v>78</v>
      </c>
      <c r="G112" s="9" t="s">
        <v>28</v>
      </c>
    </row>
    <row r="113" ht="22" customHeight="1" spans="1:7" x14ac:dyDescent="0.25">
      <c r="A113" s="12">
        <v>106</v>
      </c>
      <c r="B113" s="12" t="s">
        <v>185</v>
      </c>
      <c r="C113" s="13" t="s">
        <v>209</v>
      </c>
      <c r="D113" s="14">
        <v>500</v>
      </c>
      <c r="E113" s="11" t="s">
        <v>15</v>
      </c>
      <c r="F113" s="12" t="s">
        <v>78</v>
      </c>
      <c r="G113" s="13" t="s">
        <v>28</v>
      </c>
    </row>
    <row r="114" ht="22" customHeight="1" spans="1:7" x14ac:dyDescent="0.25">
      <c r="A114" s="8">
        <v>107</v>
      </c>
      <c r="B114" s="8" t="s">
        <v>185</v>
      </c>
      <c r="C114" s="9" t="s">
        <v>210</v>
      </c>
      <c r="D114" s="10">
        <v>1500</v>
      </c>
      <c r="E114" s="11" t="s">
        <v>15</v>
      </c>
      <c r="F114" s="8" t="s">
        <v>37</v>
      </c>
      <c r="G114" s="9" t="s">
        <v>211</v>
      </c>
    </row>
    <row r="115" ht="22" customHeight="1" spans="1:7" x14ac:dyDescent="0.25">
      <c r="A115" s="12">
        <v>108</v>
      </c>
      <c r="B115" s="12" t="s">
        <v>185</v>
      </c>
      <c r="C115" s="13" t="s">
        <v>212</v>
      </c>
      <c r="D115" s="14">
        <v>900</v>
      </c>
      <c r="E115" s="11" t="s">
        <v>15</v>
      </c>
      <c r="F115" s="12" t="s">
        <v>16</v>
      </c>
      <c r="G115" s="13" t="s">
        <v>213</v>
      </c>
    </row>
    <row r="116" ht="22" customHeight="1" spans="1:7" x14ac:dyDescent="0.25">
      <c r="A116" s="8">
        <v>109</v>
      </c>
      <c r="B116" s="8" t="s">
        <v>185</v>
      </c>
      <c r="C116" s="9" t="s">
        <v>214</v>
      </c>
      <c r="D116" s="10">
        <v>450</v>
      </c>
      <c r="E116" s="11" t="s">
        <v>15</v>
      </c>
      <c r="F116" s="8" t="s">
        <v>27</v>
      </c>
      <c r="G116" s="9" t="s">
        <v>215</v>
      </c>
    </row>
    <row r="117" ht="22" customHeight="1" spans="1:7" x14ac:dyDescent="0.25">
      <c r="A117" s="12">
        <v>110</v>
      </c>
      <c r="B117" s="12" t="s">
        <v>185</v>
      </c>
      <c r="C117" s="13" t="s">
        <v>216</v>
      </c>
      <c r="D117" s="14">
        <v>5000</v>
      </c>
      <c r="E117" s="11" t="s">
        <v>15</v>
      </c>
      <c r="F117" s="12" t="s">
        <v>34</v>
      </c>
      <c r="G117" s="13" t="s">
        <v>217</v>
      </c>
    </row>
    <row r="118" ht="22" customHeight="1" spans="1:7" x14ac:dyDescent="0.25">
      <c r="A118" s="8">
        <v>111</v>
      </c>
      <c r="B118" s="8" t="s">
        <v>185</v>
      </c>
      <c r="C118" s="9" t="s">
        <v>218</v>
      </c>
      <c r="D118" s="10">
        <v>5000</v>
      </c>
      <c r="E118" s="11" t="s">
        <v>15</v>
      </c>
      <c r="F118" s="8" t="s">
        <v>34</v>
      </c>
      <c r="G118" s="9" t="s">
        <v>219</v>
      </c>
    </row>
    <row r="119" ht="22" customHeight="1" spans="1:7" x14ac:dyDescent="0.25">
      <c r="A119" s="12">
        <v>112</v>
      </c>
      <c r="B119" s="12" t="s">
        <v>185</v>
      </c>
      <c r="C119" s="13" t="s">
        <v>220</v>
      </c>
      <c r="D119" s="14">
        <v>2000</v>
      </c>
      <c r="E119" s="11" t="s">
        <v>15</v>
      </c>
      <c r="F119" s="12" t="s">
        <v>34</v>
      </c>
      <c r="G119" s="13" t="s">
        <v>221</v>
      </c>
    </row>
    <row r="120" ht="22" customHeight="1" spans="1:7" x14ac:dyDescent="0.25">
      <c r="A120" s="8">
        <v>113</v>
      </c>
      <c r="B120" s="8" t="s">
        <v>185</v>
      </c>
      <c r="C120" s="9" t="s">
        <v>222</v>
      </c>
      <c r="D120" s="10">
        <v>1600</v>
      </c>
      <c r="E120" s="11" t="s">
        <v>15</v>
      </c>
      <c r="F120" s="8" t="s">
        <v>34</v>
      </c>
      <c r="G120" s="9" t="s">
        <v>28</v>
      </c>
    </row>
    <row r="121" ht="22" customHeight="1" spans="1:7" x14ac:dyDescent="0.25">
      <c r="A121" s="12">
        <v>114</v>
      </c>
      <c r="B121" s="12" t="s">
        <v>185</v>
      </c>
      <c r="C121" s="13" t="s">
        <v>223</v>
      </c>
      <c r="D121" s="14">
        <v>2000</v>
      </c>
      <c r="E121" s="11" t="s">
        <v>15</v>
      </c>
      <c r="F121" s="12" t="s">
        <v>16</v>
      </c>
      <c r="G121" s="13" t="s">
        <v>224</v>
      </c>
    </row>
    <row r="122" ht="22" customHeight="1" spans="1:7" x14ac:dyDescent="0.25">
      <c r="A122" s="8">
        <v>115</v>
      </c>
      <c r="B122" s="8" t="s">
        <v>185</v>
      </c>
      <c r="C122" s="9" t="s">
        <v>225</v>
      </c>
      <c r="D122" s="10">
        <v>450</v>
      </c>
      <c r="E122" s="11" t="s">
        <v>15</v>
      </c>
      <c r="F122" s="8" t="s">
        <v>34</v>
      </c>
      <c r="G122" s="9" t="s">
        <v>226</v>
      </c>
    </row>
    <row r="123" ht="22" customHeight="1" spans="1:7" x14ac:dyDescent="0.25">
      <c r="A123" s="12">
        <v>116</v>
      </c>
      <c r="B123" s="12" t="s">
        <v>185</v>
      </c>
      <c r="C123" s="13" t="s">
        <v>227</v>
      </c>
      <c r="D123" s="14">
        <v>900</v>
      </c>
      <c r="E123" s="11" t="s">
        <v>15</v>
      </c>
      <c r="F123" s="12" t="s">
        <v>43</v>
      </c>
      <c r="G123" s="13" t="s">
        <v>228</v>
      </c>
    </row>
    <row r="124" ht="22" customHeight="1" spans="1:7" x14ac:dyDescent="0.25">
      <c r="A124" s="8">
        <v>117</v>
      </c>
      <c r="B124" s="8" t="s">
        <v>185</v>
      </c>
      <c r="C124" s="9" t="s">
        <v>229</v>
      </c>
      <c r="D124" s="10">
        <v>7590</v>
      </c>
      <c r="E124" s="11" t="s">
        <v>15</v>
      </c>
      <c r="F124" s="8" t="s">
        <v>78</v>
      </c>
      <c r="G124" s="9" t="s">
        <v>230</v>
      </c>
    </row>
    <row r="125" ht="22" customHeight="1" spans="1:7" x14ac:dyDescent="0.25">
      <c r="A125" s="12">
        <v>118</v>
      </c>
      <c r="B125" s="12" t="s">
        <v>185</v>
      </c>
      <c r="C125" s="13" t="s">
        <v>231</v>
      </c>
      <c r="D125" s="14">
        <v>200</v>
      </c>
      <c r="E125" s="11" t="s">
        <v>15</v>
      </c>
      <c r="F125" s="12" t="s">
        <v>63</v>
      </c>
      <c r="G125" s="13" t="s">
        <v>28</v>
      </c>
    </row>
    <row r="126" ht="22" customHeight="1" spans="1:7" x14ac:dyDescent="0.25">
      <c r="A126" s="8">
        <v>119</v>
      </c>
      <c r="B126" s="8" t="s">
        <v>185</v>
      </c>
      <c r="C126" s="9" t="s">
        <v>174</v>
      </c>
      <c r="D126" s="10">
        <v>400</v>
      </c>
      <c r="E126" s="11" t="s">
        <v>15</v>
      </c>
      <c r="F126" s="8" t="s">
        <v>16</v>
      </c>
      <c r="G126" s="9" t="s">
        <v>232</v>
      </c>
    </row>
    <row r="127" ht="22" customHeight="1" spans="1:7" x14ac:dyDescent="0.25">
      <c r="A127" s="12">
        <v>120</v>
      </c>
      <c r="B127" s="12" t="s">
        <v>185</v>
      </c>
      <c r="C127" s="13" t="s">
        <v>233</v>
      </c>
      <c r="D127" s="14">
        <v>1000</v>
      </c>
      <c r="E127" s="11" t="s">
        <v>15</v>
      </c>
      <c r="F127" s="12" t="s">
        <v>16</v>
      </c>
      <c r="G127" s="13" t="s">
        <v>234</v>
      </c>
    </row>
    <row r="128" ht="22" customHeight="1" spans="1:7" x14ac:dyDescent="0.25">
      <c r="A128" s="8">
        <v>121</v>
      </c>
      <c r="B128" s="8" t="s">
        <v>185</v>
      </c>
      <c r="C128" s="9" t="s">
        <v>235</v>
      </c>
      <c r="D128" s="10">
        <v>3000</v>
      </c>
      <c r="E128" s="11" t="s">
        <v>15</v>
      </c>
      <c r="F128" s="8" t="s">
        <v>16</v>
      </c>
      <c r="G128" s="9" t="s">
        <v>234</v>
      </c>
    </row>
    <row r="129" ht="22" customHeight="1" spans="1:7" x14ac:dyDescent="0.25">
      <c r="A129" s="12">
        <v>122</v>
      </c>
      <c r="B129" s="12" t="s">
        <v>185</v>
      </c>
      <c r="C129" s="13" t="s">
        <v>236</v>
      </c>
      <c r="D129" s="14">
        <v>500</v>
      </c>
      <c r="E129" s="11" t="s">
        <v>15</v>
      </c>
      <c r="F129" s="12" t="s">
        <v>16</v>
      </c>
      <c r="G129" s="13" t="s">
        <v>28</v>
      </c>
    </row>
    <row r="130" ht="22" customHeight="1" spans="1:7" x14ac:dyDescent="0.25">
      <c r="A130" s="8">
        <v>123</v>
      </c>
      <c r="B130" s="8" t="s">
        <v>237</v>
      </c>
      <c r="C130" s="9" t="s">
        <v>238</v>
      </c>
      <c r="D130" s="10">
        <v>500</v>
      </c>
      <c r="E130" s="11" t="s">
        <v>15</v>
      </c>
      <c r="F130" s="8" t="s">
        <v>78</v>
      </c>
      <c r="G130" s="9" t="s">
        <v>239</v>
      </c>
    </row>
    <row r="131" ht="22" customHeight="1" spans="1:7" x14ac:dyDescent="0.25">
      <c r="A131" s="12">
        <v>124</v>
      </c>
      <c r="B131" s="12" t="s">
        <v>237</v>
      </c>
      <c r="C131" s="13" t="s">
        <v>240</v>
      </c>
      <c r="D131" s="14">
        <v>1200</v>
      </c>
      <c r="E131" s="11" t="s">
        <v>15</v>
      </c>
      <c r="F131" s="12" t="s">
        <v>34</v>
      </c>
      <c r="G131" s="13" t="s">
        <v>28</v>
      </c>
    </row>
    <row r="132" ht="22" customHeight="1" spans="1:7" x14ac:dyDescent="0.25">
      <c r="A132" s="8">
        <v>125</v>
      </c>
      <c r="B132" s="8" t="s">
        <v>237</v>
      </c>
      <c r="C132" s="9" t="s">
        <v>241</v>
      </c>
      <c r="D132" s="10">
        <v>7500</v>
      </c>
      <c r="E132" s="11" t="s">
        <v>15</v>
      </c>
      <c r="F132" s="8" t="s">
        <v>75</v>
      </c>
      <c r="G132" s="9" t="s">
        <v>242</v>
      </c>
    </row>
    <row r="133" ht="22" customHeight="1" spans="1:7" x14ac:dyDescent="0.25">
      <c r="A133" s="12">
        <v>126</v>
      </c>
      <c r="B133" s="12" t="s">
        <v>237</v>
      </c>
      <c r="C133" s="13" t="s">
        <v>243</v>
      </c>
      <c r="D133" s="14">
        <v>300</v>
      </c>
      <c r="E133" s="11" t="s">
        <v>15</v>
      </c>
      <c r="F133" s="12" t="s">
        <v>75</v>
      </c>
      <c r="G133" s="13" t="s">
        <v>28</v>
      </c>
    </row>
    <row r="134" ht="22" customHeight="1" spans="1:7" x14ac:dyDescent="0.25">
      <c r="A134" s="8">
        <v>127</v>
      </c>
      <c r="B134" s="8" t="s">
        <v>237</v>
      </c>
      <c r="C134" s="9" t="s">
        <v>244</v>
      </c>
      <c r="D134" s="10">
        <v>1200</v>
      </c>
      <c r="E134" s="11" t="s">
        <v>15</v>
      </c>
      <c r="F134" s="8" t="s">
        <v>63</v>
      </c>
      <c r="G134" s="9" t="s">
        <v>245</v>
      </c>
    </row>
    <row r="135" ht="22" customHeight="1" spans="1:7" x14ac:dyDescent="0.25">
      <c r="A135" s="12">
        <v>128</v>
      </c>
      <c r="B135" s="12" t="s">
        <v>237</v>
      </c>
      <c r="C135" s="13" t="s">
        <v>246</v>
      </c>
      <c r="D135" s="14">
        <v>3000</v>
      </c>
      <c r="E135" s="11" t="s">
        <v>15</v>
      </c>
      <c r="F135" s="12" t="s">
        <v>16</v>
      </c>
      <c r="G135" s="13" t="s">
        <v>247</v>
      </c>
    </row>
    <row r="136" ht="22" customHeight="1" spans="1:7" x14ac:dyDescent="0.25">
      <c r="A136" s="8">
        <v>129</v>
      </c>
      <c r="B136" s="8" t="s">
        <v>237</v>
      </c>
      <c r="C136" s="9" t="s">
        <v>248</v>
      </c>
      <c r="D136" s="10">
        <v>300</v>
      </c>
      <c r="E136" s="11" t="s">
        <v>15</v>
      </c>
      <c r="F136" s="8" t="s">
        <v>75</v>
      </c>
      <c r="G136" s="9" t="s">
        <v>249</v>
      </c>
    </row>
    <row r="137" ht="22" customHeight="1" spans="1:7" x14ac:dyDescent="0.25">
      <c r="A137" s="12">
        <v>130</v>
      </c>
      <c r="B137" s="12" t="s">
        <v>237</v>
      </c>
      <c r="C137" s="13" t="s">
        <v>250</v>
      </c>
      <c r="D137" s="14">
        <v>1200</v>
      </c>
      <c r="E137" s="11" t="s">
        <v>15</v>
      </c>
      <c r="F137" s="12" t="s">
        <v>78</v>
      </c>
      <c r="G137" s="13" t="s">
        <v>28</v>
      </c>
    </row>
    <row r="138" ht="22" customHeight="1" spans="1:7" x14ac:dyDescent="0.25">
      <c r="A138" s="8">
        <v>131</v>
      </c>
      <c r="B138" s="8" t="s">
        <v>237</v>
      </c>
      <c r="C138" s="9" t="s">
        <v>251</v>
      </c>
      <c r="D138" s="10">
        <v>300</v>
      </c>
      <c r="E138" s="11" t="s">
        <v>15</v>
      </c>
      <c r="F138" s="8" t="s">
        <v>22</v>
      </c>
      <c r="G138" s="9" t="s">
        <v>28</v>
      </c>
    </row>
    <row r="139" ht="22" customHeight="1" spans="1:7" x14ac:dyDescent="0.25">
      <c r="A139" s="12">
        <v>132</v>
      </c>
      <c r="B139" s="12" t="s">
        <v>237</v>
      </c>
      <c r="C139" s="13" t="s">
        <v>252</v>
      </c>
      <c r="D139" s="14">
        <v>700</v>
      </c>
      <c r="E139" s="11" t="s">
        <v>15</v>
      </c>
      <c r="F139" s="12" t="s">
        <v>63</v>
      </c>
      <c r="G139" s="13" t="s">
        <v>253</v>
      </c>
    </row>
    <row r="140" ht="22" customHeight="1" spans="1:7" x14ac:dyDescent="0.25">
      <c r="A140" s="8">
        <v>133</v>
      </c>
      <c r="B140" s="8" t="s">
        <v>237</v>
      </c>
      <c r="C140" s="9" t="s">
        <v>254</v>
      </c>
      <c r="D140" s="10">
        <v>200</v>
      </c>
      <c r="E140" s="11" t="s">
        <v>15</v>
      </c>
      <c r="F140" s="8" t="s">
        <v>75</v>
      </c>
      <c r="G140" s="9" t="s">
        <v>255</v>
      </c>
    </row>
    <row r="141" ht="22" customHeight="1" spans="1:7" x14ac:dyDescent="0.25">
      <c r="A141" s="12">
        <v>134</v>
      </c>
      <c r="B141" s="12" t="s">
        <v>237</v>
      </c>
      <c r="C141" s="13" t="s">
        <v>256</v>
      </c>
      <c r="D141" s="14">
        <v>450</v>
      </c>
      <c r="E141" s="11" t="s">
        <v>15</v>
      </c>
      <c r="F141" s="12" t="s">
        <v>63</v>
      </c>
      <c r="G141" s="13" t="s">
        <v>28</v>
      </c>
    </row>
    <row r="142" ht="22" customHeight="1" spans="1:7" x14ac:dyDescent="0.25">
      <c r="A142" s="8">
        <v>135</v>
      </c>
      <c r="B142" s="8" t="s">
        <v>237</v>
      </c>
      <c r="C142" s="9" t="s">
        <v>257</v>
      </c>
      <c r="D142" s="10">
        <v>800</v>
      </c>
      <c r="E142" s="11" t="s">
        <v>15</v>
      </c>
      <c r="F142" s="8" t="s">
        <v>37</v>
      </c>
      <c r="G142" s="9" t="s">
        <v>258</v>
      </c>
    </row>
    <row r="143" ht="22" customHeight="1" spans="1:7" x14ac:dyDescent="0.25">
      <c r="A143" s="12">
        <v>136</v>
      </c>
      <c r="B143" s="12" t="s">
        <v>237</v>
      </c>
      <c r="C143" s="13" t="s">
        <v>259</v>
      </c>
      <c r="D143" s="14">
        <v>500</v>
      </c>
      <c r="E143" s="11" t="s">
        <v>15</v>
      </c>
      <c r="F143" s="12" t="s">
        <v>27</v>
      </c>
      <c r="G143" s="13" t="s">
        <v>260</v>
      </c>
    </row>
    <row r="144" ht="22" customHeight="1" spans="1:7" x14ac:dyDescent="0.25">
      <c r="A144" s="8">
        <v>137</v>
      </c>
      <c r="B144" s="8" t="s">
        <v>237</v>
      </c>
      <c r="C144" s="9" t="s">
        <v>261</v>
      </c>
      <c r="D144" s="10">
        <v>120</v>
      </c>
      <c r="E144" s="11" t="s">
        <v>15</v>
      </c>
      <c r="F144" s="8" t="s">
        <v>27</v>
      </c>
      <c r="G144" s="9" t="s">
        <v>28</v>
      </c>
    </row>
    <row r="145" ht="22" customHeight="1" spans="1:7" x14ac:dyDescent="0.25">
      <c r="A145" s="12">
        <v>138</v>
      </c>
      <c r="B145" s="12" t="s">
        <v>237</v>
      </c>
      <c r="C145" s="13" t="s">
        <v>262</v>
      </c>
      <c r="D145" s="14">
        <v>440</v>
      </c>
      <c r="E145" s="11" t="s">
        <v>15</v>
      </c>
      <c r="F145" s="12" t="s">
        <v>75</v>
      </c>
      <c r="G145" s="13" t="s">
        <v>28</v>
      </c>
    </row>
    <row r="146" ht="22" customHeight="1" spans="1:7" x14ac:dyDescent="0.25">
      <c r="A146" s="8">
        <v>139</v>
      </c>
      <c r="B146" s="8" t="s">
        <v>237</v>
      </c>
      <c r="C146" s="9" t="s">
        <v>263</v>
      </c>
      <c r="D146" s="10">
        <v>2000</v>
      </c>
      <c r="E146" s="11" t="s">
        <v>15</v>
      </c>
      <c r="F146" s="8" t="s">
        <v>141</v>
      </c>
      <c r="G146" s="9" t="s">
        <v>264</v>
      </c>
    </row>
    <row r="147" ht="22" customHeight="1" spans="1:7" x14ac:dyDescent="0.25">
      <c r="A147" s="12">
        <v>140</v>
      </c>
      <c r="B147" s="12" t="s">
        <v>237</v>
      </c>
      <c r="C147" s="13" t="s">
        <v>265</v>
      </c>
      <c r="D147" s="14">
        <v>600</v>
      </c>
      <c r="E147" s="11" t="s">
        <v>15</v>
      </c>
      <c r="F147" s="12" t="s">
        <v>119</v>
      </c>
      <c r="G147" s="13" t="s">
        <v>266</v>
      </c>
    </row>
    <row r="148" ht="22" customHeight="1" spans="1:7" x14ac:dyDescent="0.25">
      <c r="A148" s="8">
        <v>141</v>
      </c>
      <c r="B148" s="8" t="s">
        <v>237</v>
      </c>
      <c r="C148" s="9" t="s">
        <v>267</v>
      </c>
      <c r="D148" s="10">
        <v>2650</v>
      </c>
      <c r="E148" s="11" t="s">
        <v>15</v>
      </c>
      <c r="F148" s="8" t="s">
        <v>63</v>
      </c>
      <c r="G148" s="9" t="s">
        <v>268</v>
      </c>
    </row>
    <row r="149" ht="22" customHeight="1" spans="1:7" x14ac:dyDescent="0.25">
      <c r="A149" s="12">
        <v>142</v>
      </c>
      <c r="B149" s="12" t="s">
        <v>237</v>
      </c>
      <c r="C149" s="13" t="s">
        <v>269</v>
      </c>
      <c r="D149" s="14">
        <v>4750</v>
      </c>
      <c r="E149" s="11" t="s">
        <v>15</v>
      </c>
      <c r="F149" s="12" t="s">
        <v>48</v>
      </c>
      <c r="G149" s="13" t="s">
        <v>270</v>
      </c>
    </row>
    <row r="150" ht="22" customHeight="1" spans="1:7" x14ac:dyDescent="0.25">
      <c r="A150" s="8">
        <v>143</v>
      </c>
      <c r="B150" s="8" t="s">
        <v>237</v>
      </c>
      <c r="C150" s="9" t="s">
        <v>271</v>
      </c>
      <c r="D150" s="10">
        <v>1500</v>
      </c>
      <c r="E150" s="11" t="s">
        <v>15</v>
      </c>
      <c r="F150" s="8" t="s">
        <v>48</v>
      </c>
      <c r="G150" s="9" t="s">
        <v>272</v>
      </c>
    </row>
    <row r="151" ht="22" customHeight="1" spans="1:7" x14ac:dyDescent="0.25">
      <c r="A151" s="12">
        <v>144</v>
      </c>
      <c r="B151" s="12" t="s">
        <v>237</v>
      </c>
      <c r="C151" s="13" t="s">
        <v>273</v>
      </c>
      <c r="D151" s="14">
        <v>500</v>
      </c>
      <c r="E151" s="11" t="s">
        <v>15</v>
      </c>
      <c r="F151" s="12" t="s">
        <v>16</v>
      </c>
      <c r="G151" s="13" t="s">
        <v>173</v>
      </c>
    </row>
    <row r="152" ht="22" customHeight="1" spans="1:7" x14ac:dyDescent="0.25">
      <c r="A152" s="8">
        <v>145</v>
      </c>
      <c r="B152" s="8" t="s">
        <v>274</v>
      </c>
      <c r="C152" s="9" t="s">
        <v>275</v>
      </c>
      <c r="D152" s="10">
        <v>9350</v>
      </c>
      <c r="E152" s="11" t="s">
        <v>15</v>
      </c>
      <c r="F152" s="8" t="s">
        <v>78</v>
      </c>
      <c r="G152" s="9" t="s">
        <v>276</v>
      </c>
    </row>
    <row r="153" ht="30" customHeight="1" spans="1:7" x14ac:dyDescent="0.25">
      <c r="A153" s="15" t="s">
        <v>28</v>
      </c>
      <c r="B153" s="15" t="s">
        <v>277</v>
      </c>
      <c r="C153" s="16" t="s">
        <v>278</v>
      </c>
      <c r="D153" s="17">
        <f>SUM(D8:D152)</f>
      </c>
      <c r="E153" s="15" t="s">
        <v>5</v>
      </c>
      <c r="F153" s="15" t="s">
        <v>279</v>
      </c>
      <c r="G153" s="15" t="s">
        <v>280</v>
      </c>
    </row>
  </sheetData>
  <mergeCells count="8">
    <mergeCell ref="A1:G1"/>
    <mergeCell ref="A2:G2"/>
    <mergeCell ref="A4:C4"/>
    <mergeCell ref="D4:E4"/>
    <mergeCell ref="F4:G4"/>
    <mergeCell ref="A5:C5"/>
    <mergeCell ref="D5:E5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8" customWidth="1"/>
    <col min="3" max="3" width="20" customWidth="1"/>
    <col min="4" max="4" width="22" customWidth="1"/>
  </cols>
  <sheetData>
    <row r="1" ht="36" customHeight="1" spans="1:4" x14ac:dyDescent="0.25">
      <c r="A1" s="18" t="s">
        <v>281</v>
      </c>
      <c r="B1" s="18"/>
      <c r="C1" s="18"/>
      <c r="D1" s="18"/>
    </row>
    <row r="3" ht="26" customHeight="1" spans="1:4" x14ac:dyDescent="0.25">
      <c r="A3" s="19" t="s">
        <v>282</v>
      </c>
      <c r="B3" s="19" t="s">
        <v>283</v>
      </c>
      <c r="C3" s="19" t="s">
        <v>284</v>
      </c>
      <c r="D3" s="19" t="s">
        <v>285</v>
      </c>
    </row>
    <row r="4" ht="22" customHeight="1" spans="1:4" x14ac:dyDescent="0.25">
      <c r="A4" s="20" t="s">
        <v>16</v>
      </c>
      <c r="B4" s="10">
        <f>SUMIF('سجل المصروفات التفصيلي'!F8:F152, "أجور وعمالة", 'سجل المصروفات التفصيلي'!D8:D152)</f>
      </c>
      <c r="C4" s="21">
        <f>COUNTIF('سجل المصروفات التفصيلي'!F8:F152, "أجور وعمالة")</f>
      </c>
      <c r="D4" s="22">
        <f>B4/B19</f>
      </c>
    </row>
    <row r="5" ht="22" customHeight="1" spans="1:4" x14ac:dyDescent="0.25">
      <c r="A5" s="23" t="s">
        <v>19</v>
      </c>
      <c r="B5" s="14">
        <f>SUMIF('سجل المصروفات التفصيلي'!F8:F152, "أثاث ومفروشات", 'سجل المصروفات التفصيلي'!D8:D152)</f>
      </c>
      <c r="C5" s="24">
        <f>COUNTIF('سجل المصروفات التفصيلي'!F8:F152, "أثاث ومفروشات")</f>
      </c>
      <c r="D5" s="25">
        <f>B5/B19</f>
      </c>
    </row>
    <row r="6" ht="22" customHeight="1" spans="1:4" x14ac:dyDescent="0.25">
      <c r="A6" s="20" t="s">
        <v>22</v>
      </c>
      <c r="B6" s="10">
        <f>SUMIF('سجل المصروفات التفصيلي'!F8:F152, "صيانة ومصاعد", 'سجل المصروفات التفصيلي'!D8:D152)</f>
      </c>
      <c r="C6" s="21">
        <f>COUNTIF('سجل المصروفات التفصيلي'!F8:F152, "صيانة ومصاعد")</f>
      </c>
      <c r="D6" s="22">
        <f>B6/B19</f>
      </c>
    </row>
    <row r="7" ht="22" customHeight="1" spans="1:4" x14ac:dyDescent="0.25">
      <c r="A7" s="23" t="s">
        <v>27</v>
      </c>
      <c r="B7" s="14">
        <f>SUMIF('سجل المصروفات التفصيلي'!F8:F152, "نثريات وتجهيزات", 'سجل المصروفات التفصيلي'!D8:D152)</f>
      </c>
      <c r="C7" s="24">
        <f>COUNTIF('سجل المصروفات التفصيلي'!F8:F152, "نثريات وتجهيزات")</f>
      </c>
      <c r="D7" s="25">
        <f>B7/B19</f>
      </c>
    </row>
    <row r="8" ht="22" customHeight="1" spans="1:4" x14ac:dyDescent="0.25">
      <c r="A8" s="20" t="s">
        <v>34</v>
      </c>
      <c r="B8" s="10">
        <f>SUMIF('سجل المصروفات التفصيلي'!F8:F152, "أعمال تشطيب وديكور", 'سجل المصروفات التفصيلي'!D8:D152)</f>
      </c>
      <c r="C8" s="21">
        <f>COUNTIF('سجل المصروفات التفصيلي'!F8:F152, "أعمال تشطيب وديكور")</f>
      </c>
      <c r="D8" s="22">
        <f>B8/B19</f>
      </c>
    </row>
    <row r="9" ht="22" customHeight="1" spans="1:4" x14ac:dyDescent="0.25">
      <c r="A9" s="23" t="s">
        <v>37</v>
      </c>
      <c r="B9" s="14">
        <f>SUMIF('سجل المصروفات التفصيلي'!F8:F152, "نقل وشحن", 'سجل المصروفات التفصيلي'!D8:D152)</f>
      </c>
      <c r="C9" s="24">
        <f>COUNTIF('سجل المصروفات التفصيلي'!F8:F152, "نقل وشحن")</f>
      </c>
      <c r="D9" s="25">
        <f>B9/B19</f>
      </c>
    </row>
    <row r="10" ht="22" customHeight="1" spans="1:4" x14ac:dyDescent="0.25">
      <c r="A10" s="20" t="s">
        <v>40</v>
      </c>
      <c r="B10" s="10">
        <f>SUMIF('سجل المصروفات التفصيلي'!F8:F152, "أعمال مدنية ومباني", 'سجل المصروفات التفصيلي'!D8:D152)</f>
      </c>
      <c r="C10" s="21">
        <f>COUNTIF('سجل المصروفات التفصيلي'!F8:F152, "أعمال مدنية ومباني")</f>
      </c>
      <c r="D10" s="22">
        <f>B10/B19</f>
      </c>
    </row>
    <row r="11" ht="22" customHeight="1" spans="1:4" x14ac:dyDescent="0.25">
      <c r="A11" s="23" t="s">
        <v>43</v>
      </c>
      <c r="B11" s="14">
        <f>SUMIF('سجل المصروفات التفصيلي'!F8:F152, "مواد بناء ومحارة", 'سجل المصروفات التفصيلي'!D8:D152)</f>
      </c>
      <c r="C11" s="24">
        <f>COUNTIF('سجل المصروفات التفصيلي'!F8:F152, "مواد بناء ومحارة")</f>
      </c>
      <c r="D11" s="25">
        <f>B11/B19</f>
      </c>
    </row>
    <row r="12" ht="22" customHeight="1" spans="1:4" x14ac:dyDescent="0.25">
      <c r="A12" s="20" t="s">
        <v>48</v>
      </c>
      <c r="B12" s="10">
        <f>SUMIF('سجل المصروفات التفصيلي'!F8:F152, "إكسسوارات وتشطيبات", 'سجل المصروفات التفصيلي'!D8:D152)</f>
      </c>
      <c r="C12" s="21">
        <f>COUNTIF('سجل المصروفات التفصيلي'!F8:F152, "إكسسوارات وتشطيبات")</f>
      </c>
      <c r="D12" s="22">
        <f>B12/B19</f>
      </c>
    </row>
    <row r="13" ht="22" customHeight="1" spans="1:4" x14ac:dyDescent="0.25">
      <c r="A13" s="23" t="s">
        <v>63</v>
      </c>
      <c r="B13" s="14">
        <f>SUMIF('سجل المصروفات التفصيلي'!F8:F152, "سباكة وصرف", 'سجل المصروفات التفصيلي'!D8:D152)</f>
      </c>
      <c r="C13" s="24">
        <f>COUNTIF('سجل المصروفات التفصيلي'!F8:F152, "سباكة وصرف")</f>
      </c>
      <c r="D13" s="25">
        <f>B13/B19</f>
      </c>
    </row>
    <row r="14" ht="22" customHeight="1" spans="1:4" x14ac:dyDescent="0.25">
      <c r="A14" s="20" t="s">
        <v>70</v>
      </c>
      <c r="B14" s="10">
        <f>SUMIF('سجل المصروفات التفصيلي'!F8:F152, "مرافق وفواتير", 'سجل المصروفات التفصيلي'!D8:D152)</f>
      </c>
      <c r="C14" s="21">
        <f>COUNTIF('سجل المصروفات التفصيلي'!F8:F152, "مرافق وفواتير")</f>
      </c>
      <c r="D14" s="22">
        <f>B14/B19</f>
      </c>
    </row>
    <row r="15" ht="22" customHeight="1" spans="1:4" x14ac:dyDescent="0.25">
      <c r="A15" s="23" t="s">
        <v>75</v>
      </c>
      <c r="B15" s="14">
        <f>SUMIF('سجل المصروفات التفصيلي'!F8:F152, "دهانات وتكسية", 'سجل المصروفات التفصيلي'!D8:D152)</f>
      </c>
      <c r="C15" s="24">
        <f>COUNTIF('سجل المصروفات التفصيلي'!F8:F152, "دهانات وتكسية")</f>
      </c>
      <c r="D15" s="25">
        <f>B15/B19</f>
      </c>
    </row>
    <row r="16" ht="22" customHeight="1" spans="1:4" x14ac:dyDescent="0.25">
      <c r="A16" s="20" t="s">
        <v>78</v>
      </c>
      <c r="B16" s="10">
        <f>SUMIF('سجل المصروفات التفصيلي'!F8:F152, "كهرباء وإنارة", 'سجل المصروفات التفصيلي'!D8:D152)</f>
      </c>
      <c r="C16" s="21">
        <f>COUNTIF('سجل المصروفات التفصيلي'!F8:F152, "كهرباء وإنارة")</f>
      </c>
      <c r="D16" s="22">
        <f>B16/B19</f>
      </c>
    </row>
    <row r="17" ht="22" customHeight="1" spans="1:4" x14ac:dyDescent="0.25">
      <c r="A17" s="23" t="s">
        <v>119</v>
      </c>
      <c r="B17" s="14">
        <f>SUMIF('سجل المصروفات التفصيلي'!F8:F152, "نظافة وغسيل", 'سجل المصروفات التفصيلي'!D8:D152)</f>
      </c>
      <c r="C17" s="24">
        <f>COUNTIF('سجل المصروفات التفصيلي'!F8:F152, "نظافة وغسيل")</f>
      </c>
      <c r="D17" s="25">
        <f>B17/B19</f>
      </c>
    </row>
    <row r="18" ht="22" customHeight="1" spans="1:4" x14ac:dyDescent="0.25">
      <c r="A18" s="20" t="s">
        <v>141</v>
      </c>
      <c r="B18" s="10">
        <f>SUMIF('سجل المصروفات التفصيلي'!F8:F152, "ديكور ومكملات", 'سجل المصروفات التفصيلي'!D8:D152)</f>
      </c>
      <c r="C18" s="21">
        <f>COUNTIF('سجل المصروفات التفصيلي'!F8:F152, "ديكور ومكملات")</f>
      </c>
      <c r="D18" s="22">
        <f>B18/B19</f>
      </c>
    </row>
    <row r="19" ht="28" customHeight="1" spans="1:4" x14ac:dyDescent="0.25">
      <c r="A19" s="26" t="s">
        <v>277</v>
      </c>
      <c r="B19" s="27">
        <f>SUM(B4:B18)</f>
      </c>
      <c r="C19" s="19">
        <f>SUM(C4:C18)</f>
      </c>
      <c r="D19" s="28">
        <f>SUM(D4:D18)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32" customWidth="1"/>
    <col min="3" max="3" width="20" customWidth="1"/>
    <col min="4" max="4" width="45" customWidth="1"/>
  </cols>
  <sheetData>
    <row r="1" ht="36" customHeight="1" spans="1:4" x14ac:dyDescent="0.25">
      <c r="A1" s="18" t="s">
        <v>286</v>
      </c>
      <c r="B1" s="18"/>
      <c r="C1" s="18"/>
      <c r="D1" s="18"/>
    </row>
    <row r="3" ht="26" customHeight="1" spans="1:4" x14ac:dyDescent="0.25">
      <c r="A3" s="19" t="s">
        <v>287</v>
      </c>
      <c r="B3" s="19" t="s">
        <v>288</v>
      </c>
      <c r="C3" s="19" t="s">
        <v>289</v>
      </c>
      <c r="D3" s="19" t="s">
        <v>290</v>
      </c>
    </row>
    <row r="4" ht="24" customHeight="1" spans="1:4" x14ac:dyDescent="0.25">
      <c r="A4" s="21" t="s">
        <v>13</v>
      </c>
      <c r="B4" s="29">
        <f>SUMIF('سجل المصروفات التفصيلي'!B8:B152, "صفحة 1", 'سجل المصروفات التفصيلي'!D8:D152)</f>
      </c>
      <c r="C4" s="21">
        <f>COUNTIF('سجل المصروفات التفصيلي'!B8:B152, "صفحة 1")</f>
      </c>
      <c r="D4" s="20" t="s">
        <v>291</v>
      </c>
    </row>
    <row r="5" ht="24" customHeight="1" spans="1:4" x14ac:dyDescent="0.25">
      <c r="A5" s="24" t="s">
        <v>84</v>
      </c>
      <c r="B5" s="30">
        <f>SUMIF('سجل المصروفات التفصيلي'!B8:B152, "صفحة 2", 'سجل المصروفات التفصيلي'!D8:D152)</f>
      </c>
      <c r="C5" s="24">
        <f>COUNTIF('سجل المصروفات التفصيلي'!B8:B152, "صفحة 2")</f>
      </c>
      <c r="D5" s="23" t="s">
        <v>291</v>
      </c>
    </row>
    <row r="6" ht="24" customHeight="1" spans="1:4" x14ac:dyDescent="0.25">
      <c r="A6" s="21" t="s">
        <v>134</v>
      </c>
      <c r="B6" s="29">
        <f>SUMIF('سجل المصروفات التفصيلي'!B8:B152, "صفحة 3", 'سجل المصروفات التفصيلي'!D8:D152)</f>
      </c>
      <c r="C6" s="21">
        <f>COUNTIF('سجل المصروفات التفصيلي'!B8:B152, "صفحة 3")</f>
      </c>
      <c r="D6" s="20" t="s">
        <v>291</v>
      </c>
    </row>
    <row r="7" ht="24" customHeight="1" spans="1:4" x14ac:dyDescent="0.25">
      <c r="A7" s="24" t="s">
        <v>185</v>
      </c>
      <c r="B7" s="30">
        <f>SUMIF('سجل المصروفات التفصيلي'!B8:B152, "صفحة 4", 'سجل المصروفات التفصيلي'!D8:D152)</f>
      </c>
      <c r="C7" s="24">
        <f>COUNTIF('سجل المصروفات التفصيلي'!B8:B152, "صفحة 4")</f>
      </c>
      <c r="D7" s="23" t="s">
        <v>291</v>
      </c>
    </row>
    <row r="8" ht="24" customHeight="1" spans="1:4" x14ac:dyDescent="0.25">
      <c r="A8" s="21" t="s">
        <v>237</v>
      </c>
      <c r="B8" s="29">
        <f>SUMIF('سجل المصروفات التفصيلي'!B8:B152, "صفحة 5", 'سجل المصروفات التفصيلي'!D8:D152)</f>
      </c>
      <c r="C8" s="21">
        <f>COUNTIF('سجل المصروفات التفصيلي'!B8:B152, "صفحة 5")</f>
      </c>
      <c r="D8" s="20" t="s">
        <v>291</v>
      </c>
    </row>
    <row r="9" ht="24" customHeight="1" spans="1:4" x14ac:dyDescent="0.25">
      <c r="A9" s="24" t="s">
        <v>274</v>
      </c>
      <c r="B9" s="30">
        <f>SUMIF('سجل المصروفات التفصيلي'!B8:B152, "صفحة 6 (ملاحظة 10 أغسطس)", 'سجل المصروفات التفصيلي'!D8:D152)</f>
      </c>
      <c r="C9" s="24">
        <f>COUNTIF('سجل المصروفات التفصيلي'!B8:B152, "صفحة 6 (ملاحظة 10 أغسطس)")</f>
      </c>
      <c r="D9" s="23" t="s">
        <v>291</v>
      </c>
    </row>
    <row r="10" ht="28" customHeight="1" spans="1:4" x14ac:dyDescent="0.25">
      <c r="A10" s="19" t="s">
        <v>292</v>
      </c>
      <c r="B10" s="27">
        <f>SUM(B4:B9)</f>
      </c>
      <c r="C10" s="19">
        <f>SUM(C4:C9)</f>
      </c>
      <c r="D10" s="26" t="s">
        <v>293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سجل المصروفات التفصيلي</vt:lpstr>
      <vt:lpstr>ملخص حسب التصنيفات</vt:lpstr>
      <vt:lpstr>مطابقة صفحات الدفتر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إدارة هوستل الأهرامات</dc:creator>
  <dc:title/>
  <dc:subject/>
  <dc:description/>
  <cp:keywords/>
  <cp:category/>
  <cp:lastModifiedBy>الخبير المحاسبي</cp:lastModifiedBy>
  <dcterms:created xsi:type="dcterms:W3CDTF">2026-08-10T14:57:50Z</dcterms:created>
  <dcterms:modified xsi:type="dcterms:W3CDTF">2026-08-10T14:57:50Z</dcterms:modified>
</cp:coreProperties>
</file>