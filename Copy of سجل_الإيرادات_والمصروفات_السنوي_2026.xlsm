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1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2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Henu\"/>
    </mc:Choice>
  </mc:AlternateContent>
  <xr:revisionPtr revIDLastSave="0" documentId="13_ncr:1_{3B087AA6-908C-4BED-BD24-B5575AB911FA}" xr6:coauthVersionLast="47" xr6:coauthVersionMax="47" xr10:uidLastSave="{00000000-0000-0000-0000-000000000000}"/>
  <bookViews>
    <workbookView xWindow="-110" yWindow="-110" windowWidth="19420" windowHeight="10300" firstSheet="7" activeTab="8" xr2:uid="{5B90BEA4-C978-4D8A-869B-1788FFDE4E77}"/>
  </bookViews>
  <sheets>
    <sheet name="01-يناير" sheetId="1" r:id="rId1"/>
    <sheet name="02-فبراير" sheetId="2" r:id="rId2"/>
    <sheet name="03-مارس" sheetId="3" r:id="rId3"/>
    <sheet name="04-أبريل" sheetId="4" r:id="rId4"/>
    <sheet name="05-مايو" sheetId="5" r:id="rId5"/>
    <sheet name="06-يونيو" sheetId="6" r:id="rId6"/>
    <sheet name="07-يوليو" sheetId="7" r:id="rId7"/>
    <sheet name="اغسطس" sheetId="10" r:id="rId8"/>
    <sheet name="09-سبتمبر" sheetId="9" r:id="rId9"/>
    <sheet name="اكتوبر" sheetId="8" r:id="rId10"/>
    <sheet name="11-نوفمبر" sheetId="11" r:id="rId11"/>
    <sheet name="12-ديسمبر" sheetId="12" r:id="rId12"/>
    <sheet name="داشبورد_مجمع_الشهور" sheetId="13" r:id="rId13"/>
    <sheet name="داشبورد_Year_To_Date" sheetId="14" r:id="rId14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J35" i="9" l="1"/>
  <c r="J36" i="9" s="1"/>
  <c r="J37" i="9" s="1"/>
  <c r="J38" i="9" s="1"/>
  <c r="J39" i="9" s="1"/>
  <c r="J40" i="9" s="1"/>
  <c r="J41" i="9" s="1"/>
  <c r="J42" i="9" s="1"/>
  <c r="J43" i="9" s="1"/>
  <c r="J44" i="9" s="1"/>
  <c r="J45" i="9" s="1"/>
  <c r="J46" i="9" s="1"/>
  <c r="J47" i="9" s="1"/>
  <c r="J48" i="9" s="1"/>
  <c r="J49" i="9" s="1"/>
  <c r="J50" i="9" s="1"/>
  <c r="J51" i="9" s="1"/>
  <c r="J52" i="9" s="1"/>
  <c r="J53" i="9" s="1"/>
  <c r="J54" i="9" s="1"/>
  <c r="J55" i="9" s="1"/>
  <c r="J56" i="9" s="1"/>
  <c r="J57" i="9" s="1"/>
  <c r="J58" i="9" s="1"/>
  <c r="J59" i="9" s="1"/>
  <c r="J60" i="9" s="1"/>
  <c r="J61" i="9" s="1"/>
  <c r="J62" i="9" s="1"/>
  <c r="J63" i="9" s="1"/>
  <c r="J64" i="9" s="1"/>
  <c r="J65" i="9" s="1"/>
  <c r="J66" i="9" s="1"/>
  <c r="J67" i="9" s="1"/>
  <c r="J68" i="9" s="1"/>
  <c r="J69" i="9" s="1"/>
  <c r="J70" i="9" s="1"/>
  <c r="J71" i="9" s="1"/>
  <c r="J72" i="9" s="1"/>
  <c r="J73" i="9" s="1"/>
  <c r="J74" i="9" s="1"/>
  <c r="J75" i="9" s="1"/>
  <c r="J76" i="9" s="1"/>
  <c r="J77" i="9" s="1"/>
  <c r="J78" i="9" s="1"/>
  <c r="J79" i="9" s="1"/>
  <c r="J80" i="9" s="1"/>
  <c r="J81" i="9" s="1"/>
  <c r="J82" i="9" s="1"/>
  <c r="J83" i="9" s="1"/>
  <c r="J84" i="9" s="1"/>
  <c r="J85" i="9" s="1"/>
  <c r="J86" i="9" s="1"/>
  <c r="J87" i="9" s="1"/>
  <c r="J88" i="9" s="1"/>
  <c r="J89" i="9" s="1"/>
  <c r="J90" i="9" s="1"/>
  <c r="J91" i="9" s="1"/>
  <c r="J92" i="9" s="1"/>
  <c r="J93" i="9" s="1"/>
  <c r="J94" i="9" s="1"/>
  <c r="J95" i="9" s="1"/>
  <c r="J96" i="9" s="1"/>
  <c r="J97" i="9" s="1"/>
  <c r="J98" i="9" s="1"/>
  <c r="J99" i="9" s="1"/>
  <c r="J100" i="9" s="1"/>
  <c r="J101" i="9" s="1"/>
  <c r="J102" i="9" s="1"/>
  <c r="J103" i="9" s="1"/>
  <c r="J104" i="9" s="1"/>
  <c r="J105" i="9" s="1"/>
  <c r="J106" i="9" s="1"/>
  <c r="J107" i="9" s="1"/>
  <c r="J108" i="9" s="1"/>
  <c r="J109" i="9" s="1"/>
  <c r="J110" i="9" s="1"/>
  <c r="J111" i="9" s="1"/>
  <c r="J112" i="9" s="1"/>
  <c r="J113" i="9" s="1"/>
  <c r="J114" i="9" s="1"/>
  <c r="J115" i="9" s="1"/>
  <c r="J116" i="9" s="1"/>
  <c r="J117" i="9" s="1"/>
  <c r="J118" i="9" s="1"/>
  <c r="J119" i="9" s="1"/>
  <c r="J120" i="9" s="1"/>
  <c r="J121" i="9" s="1"/>
  <c r="J122" i="9" s="1"/>
  <c r="J123" i="9" s="1"/>
  <c r="J124" i="9" s="1"/>
  <c r="J125" i="9" s="1"/>
  <c r="J126" i="9" s="1"/>
  <c r="J127" i="9" s="1"/>
  <c r="J128" i="9" s="1"/>
  <c r="J129" i="9" s="1"/>
  <c r="H130" i="9"/>
  <c r="D13" i="13" s="1"/>
  <c r="J4" i="9"/>
  <c r="J5" i="9" s="1"/>
  <c r="J153" i="10"/>
  <c r="K153" i="10" s="1"/>
  <c r="H153" i="10"/>
  <c r="G153" i="10"/>
  <c r="J35" i="10"/>
  <c r="K35" i="10" s="1"/>
  <c r="J4" i="10"/>
  <c r="D9" i="14"/>
  <c r="B9" i="14"/>
  <c r="G17" i="13"/>
  <c r="H16" i="13"/>
  <c r="G16" i="13"/>
  <c r="H15" i="13"/>
  <c r="G15" i="13"/>
  <c r="G14" i="13"/>
  <c r="H14" i="13" s="1"/>
  <c r="E14" i="13"/>
  <c r="D14" i="13"/>
  <c r="G13" i="13"/>
  <c r="H13" i="13" s="1"/>
  <c r="H12" i="13"/>
  <c r="G12" i="13"/>
  <c r="F12" i="13"/>
  <c r="E12" i="13"/>
  <c r="D12" i="13"/>
  <c r="C12" i="13"/>
  <c r="H11" i="13"/>
  <c r="G11" i="13"/>
  <c r="F11" i="13"/>
  <c r="E11" i="13"/>
  <c r="D11" i="13"/>
  <c r="C11" i="13"/>
  <c r="H10" i="13"/>
  <c r="G10" i="13"/>
  <c r="F10" i="13"/>
  <c r="E10" i="13"/>
  <c r="D10" i="13"/>
  <c r="C10" i="13"/>
  <c r="H9" i="13"/>
  <c r="G9" i="13"/>
  <c r="F9" i="13"/>
  <c r="E9" i="13"/>
  <c r="D9" i="13"/>
  <c r="C9" i="13"/>
  <c r="H8" i="13"/>
  <c r="G8" i="13"/>
  <c r="F8" i="13"/>
  <c r="E8" i="13"/>
  <c r="D8" i="13"/>
  <c r="C8" i="13"/>
  <c r="H7" i="13"/>
  <c r="G7" i="13"/>
  <c r="F7" i="13"/>
  <c r="E7" i="13"/>
  <c r="D7" i="13"/>
  <c r="C7" i="13"/>
  <c r="H6" i="13"/>
  <c r="G6" i="13"/>
  <c r="F6" i="13"/>
  <c r="E6" i="13"/>
  <c r="D6" i="13"/>
  <c r="C6" i="13"/>
  <c r="H5" i="13"/>
  <c r="G5" i="13"/>
  <c r="F5" i="13"/>
  <c r="E5" i="13"/>
  <c r="D5" i="13"/>
  <c r="C5" i="13"/>
  <c r="H35" i="11"/>
  <c r="D15" i="13" s="1"/>
  <c r="G35" i="11"/>
  <c r="G4" i="12" s="1"/>
  <c r="H4" i="11"/>
  <c r="J4" i="11" s="1"/>
  <c r="G4" i="11"/>
  <c r="G130" i="9"/>
  <c r="E13" i="13" s="1"/>
  <c r="E17" i="13" s="1"/>
  <c r="B7" i="14" s="1"/>
  <c r="D7" i="14" s="1"/>
  <c r="H35" i="8"/>
  <c r="G35" i="8"/>
  <c r="K34" i="8"/>
  <c r="J34" i="8"/>
  <c r="K33" i="8"/>
  <c r="J33" i="8"/>
  <c r="K32" i="8"/>
  <c r="J32" i="8"/>
  <c r="K31" i="8"/>
  <c r="J31" i="8"/>
  <c r="K30" i="8"/>
  <c r="J30" i="8"/>
  <c r="K29" i="8"/>
  <c r="J29" i="8"/>
  <c r="K28" i="8"/>
  <c r="J28" i="8"/>
  <c r="K27" i="8"/>
  <c r="J27" i="8"/>
  <c r="K26" i="8"/>
  <c r="J26" i="8"/>
  <c r="K25" i="8"/>
  <c r="J25" i="8"/>
  <c r="K24" i="8"/>
  <c r="J24" i="8"/>
  <c r="K23" i="8"/>
  <c r="J23" i="8"/>
  <c r="K22" i="8"/>
  <c r="J22" i="8"/>
  <c r="K21" i="8"/>
  <c r="J21" i="8"/>
  <c r="K20" i="8"/>
  <c r="J20" i="8"/>
  <c r="K19" i="8"/>
  <c r="J19" i="8"/>
  <c r="K18" i="8"/>
  <c r="J18" i="8"/>
  <c r="K17" i="8"/>
  <c r="J17" i="8"/>
  <c r="K16" i="8"/>
  <c r="J16" i="8"/>
  <c r="K15" i="8"/>
  <c r="J15" i="8"/>
  <c r="K14" i="8"/>
  <c r="J14" i="8"/>
  <c r="K13" i="8"/>
  <c r="J13" i="8"/>
  <c r="K12" i="8"/>
  <c r="J12" i="8"/>
  <c r="K11" i="8"/>
  <c r="J11" i="8"/>
  <c r="K10" i="8"/>
  <c r="J10" i="8"/>
  <c r="K9" i="8"/>
  <c r="J9" i="8"/>
  <c r="K8" i="8"/>
  <c r="J8" i="8"/>
  <c r="K7" i="8"/>
  <c r="J7" i="8"/>
  <c r="K6" i="8"/>
  <c r="J6" i="8"/>
  <c r="K5" i="8"/>
  <c r="J5" i="8"/>
  <c r="K4" i="8"/>
  <c r="J4" i="8"/>
  <c r="H4" i="8"/>
  <c r="G4" i="8"/>
  <c r="H35" i="7"/>
  <c r="G35" i="7"/>
  <c r="K34" i="7"/>
  <c r="J34" i="7"/>
  <c r="K33" i="7"/>
  <c r="J33" i="7"/>
  <c r="K32" i="7"/>
  <c r="J32" i="7"/>
  <c r="K31" i="7"/>
  <c r="J31" i="7"/>
  <c r="K30" i="7"/>
  <c r="J30" i="7"/>
  <c r="K29" i="7"/>
  <c r="J29" i="7"/>
  <c r="K28" i="7"/>
  <c r="J28" i="7"/>
  <c r="K27" i="7"/>
  <c r="J27" i="7"/>
  <c r="K26" i="7"/>
  <c r="J26" i="7"/>
  <c r="K25" i="7"/>
  <c r="J25" i="7"/>
  <c r="K24" i="7"/>
  <c r="J24" i="7"/>
  <c r="K23" i="7"/>
  <c r="J23" i="7"/>
  <c r="K22" i="7"/>
  <c r="J22" i="7"/>
  <c r="K21" i="7"/>
  <c r="J21" i="7"/>
  <c r="K20" i="7"/>
  <c r="J20" i="7"/>
  <c r="K19" i="7"/>
  <c r="J19" i="7"/>
  <c r="K18" i="7"/>
  <c r="J18" i="7"/>
  <c r="K17" i="7"/>
  <c r="J17" i="7"/>
  <c r="K16" i="7"/>
  <c r="J16" i="7"/>
  <c r="K15" i="7"/>
  <c r="J15" i="7"/>
  <c r="K14" i="7"/>
  <c r="J14" i="7"/>
  <c r="K13" i="7"/>
  <c r="J13" i="7"/>
  <c r="K12" i="7"/>
  <c r="J12" i="7"/>
  <c r="K11" i="7"/>
  <c r="J11" i="7"/>
  <c r="K10" i="7"/>
  <c r="J10" i="7"/>
  <c r="K9" i="7"/>
  <c r="J9" i="7"/>
  <c r="K8" i="7"/>
  <c r="J8" i="7"/>
  <c r="K7" i="7"/>
  <c r="J7" i="7"/>
  <c r="K6" i="7"/>
  <c r="J6" i="7"/>
  <c r="K5" i="7"/>
  <c r="J5" i="7"/>
  <c r="K4" i="7"/>
  <c r="J4" i="7"/>
  <c r="H4" i="7"/>
  <c r="G4" i="7"/>
  <c r="H35" i="6"/>
  <c r="G35" i="6"/>
  <c r="K34" i="6"/>
  <c r="J34" i="6"/>
  <c r="K33" i="6"/>
  <c r="J33" i="6"/>
  <c r="K32" i="6"/>
  <c r="J32" i="6"/>
  <c r="K31" i="6"/>
  <c r="J31" i="6"/>
  <c r="K30" i="6"/>
  <c r="J30" i="6"/>
  <c r="K29" i="6"/>
  <c r="J29" i="6"/>
  <c r="K28" i="6"/>
  <c r="J28" i="6"/>
  <c r="K27" i="6"/>
  <c r="J27" i="6"/>
  <c r="K26" i="6"/>
  <c r="J26" i="6"/>
  <c r="K25" i="6"/>
  <c r="J25" i="6"/>
  <c r="K24" i="6"/>
  <c r="J24" i="6"/>
  <c r="K23" i="6"/>
  <c r="J23" i="6"/>
  <c r="K22" i="6"/>
  <c r="J22" i="6"/>
  <c r="K21" i="6"/>
  <c r="J21" i="6"/>
  <c r="K20" i="6"/>
  <c r="J20" i="6"/>
  <c r="K19" i="6"/>
  <c r="J19" i="6"/>
  <c r="K18" i="6"/>
  <c r="J18" i="6"/>
  <c r="K17" i="6"/>
  <c r="J17" i="6"/>
  <c r="K16" i="6"/>
  <c r="J16" i="6"/>
  <c r="K15" i="6"/>
  <c r="J15" i="6"/>
  <c r="K14" i="6"/>
  <c r="J14" i="6"/>
  <c r="K13" i="6"/>
  <c r="J13" i="6"/>
  <c r="K12" i="6"/>
  <c r="J12" i="6"/>
  <c r="K11" i="6"/>
  <c r="J11" i="6"/>
  <c r="K10" i="6"/>
  <c r="J10" i="6"/>
  <c r="K9" i="6"/>
  <c r="J9" i="6"/>
  <c r="K8" i="6"/>
  <c r="J8" i="6"/>
  <c r="K7" i="6"/>
  <c r="J7" i="6"/>
  <c r="K6" i="6"/>
  <c r="J6" i="6"/>
  <c r="K5" i="6"/>
  <c r="J5" i="6"/>
  <c r="K4" i="6"/>
  <c r="J4" i="6"/>
  <c r="H4" i="6"/>
  <c r="G4" i="6"/>
  <c r="H35" i="5"/>
  <c r="G35" i="5"/>
  <c r="K34" i="5"/>
  <c r="J34" i="5"/>
  <c r="K33" i="5"/>
  <c r="J33" i="5"/>
  <c r="K32" i="5"/>
  <c r="J32" i="5"/>
  <c r="K31" i="5"/>
  <c r="J31" i="5"/>
  <c r="K30" i="5"/>
  <c r="J30" i="5"/>
  <c r="K29" i="5"/>
  <c r="J29" i="5"/>
  <c r="K28" i="5"/>
  <c r="J28" i="5"/>
  <c r="K27" i="5"/>
  <c r="J27" i="5"/>
  <c r="K26" i="5"/>
  <c r="J26" i="5"/>
  <c r="K25" i="5"/>
  <c r="J25" i="5"/>
  <c r="K24" i="5"/>
  <c r="J24" i="5"/>
  <c r="K23" i="5"/>
  <c r="J23" i="5"/>
  <c r="K22" i="5"/>
  <c r="J22" i="5"/>
  <c r="K21" i="5"/>
  <c r="J21" i="5"/>
  <c r="K20" i="5"/>
  <c r="J20" i="5"/>
  <c r="K19" i="5"/>
  <c r="J19" i="5"/>
  <c r="K18" i="5"/>
  <c r="J18" i="5"/>
  <c r="K17" i="5"/>
  <c r="J17" i="5"/>
  <c r="K16" i="5"/>
  <c r="J16" i="5"/>
  <c r="K15" i="5"/>
  <c r="J15" i="5"/>
  <c r="K14" i="5"/>
  <c r="J14" i="5"/>
  <c r="K13" i="5"/>
  <c r="J13" i="5"/>
  <c r="K12" i="5"/>
  <c r="J12" i="5"/>
  <c r="K11" i="5"/>
  <c r="J11" i="5"/>
  <c r="K10" i="5"/>
  <c r="J10" i="5"/>
  <c r="K9" i="5"/>
  <c r="J9" i="5"/>
  <c r="K8" i="5"/>
  <c r="J8" i="5"/>
  <c r="K7" i="5"/>
  <c r="J7" i="5"/>
  <c r="K6" i="5"/>
  <c r="J6" i="5"/>
  <c r="K5" i="5"/>
  <c r="J5" i="5"/>
  <c r="K4" i="5"/>
  <c r="J4" i="5"/>
  <c r="H4" i="5"/>
  <c r="G4" i="5"/>
  <c r="H35" i="4"/>
  <c r="G35" i="4"/>
  <c r="K34" i="4"/>
  <c r="J34" i="4"/>
  <c r="K33" i="4"/>
  <c r="J33" i="4"/>
  <c r="K32" i="4"/>
  <c r="J32" i="4"/>
  <c r="K31" i="4"/>
  <c r="J31" i="4"/>
  <c r="K30" i="4"/>
  <c r="J30" i="4"/>
  <c r="K29" i="4"/>
  <c r="J29" i="4"/>
  <c r="K28" i="4"/>
  <c r="J28" i="4"/>
  <c r="K27" i="4"/>
  <c r="J27" i="4"/>
  <c r="K26" i="4"/>
  <c r="J26" i="4"/>
  <c r="K25" i="4"/>
  <c r="J25" i="4"/>
  <c r="K24" i="4"/>
  <c r="J24" i="4"/>
  <c r="K23" i="4"/>
  <c r="J23" i="4"/>
  <c r="K22" i="4"/>
  <c r="J22" i="4"/>
  <c r="K21" i="4"/>
  <c r="J21" i="4"/>
  <c r="K20" i="4"/>
  <c r="J20" i="4"/>
  <c r="K19" i="4"/>
  <c r="J19" i="4"/>
  <c r="K18" i="4"/>
  <c r="J18" i="4"/>
  <c r="K17" i="4"/>
  <c r="J17" i="4"/>
  <c r="K16" i="4"/>
  <c r="J16" i="4"/>
  <c r="K15" i="4"/>
  <c r="J15" i="4"/>
  <c r="K14" i="4"/>
  <c r="J14" i="4"/>
  <c r="K13" i="4"/>
  <c r="J13" i="4"/>
  <c r="K12" i="4"/>
  <c r="J12" i="4"/>
  <c r="K11" i="4"/>
  <c r="J11" i="4"/>
  <c r="K10" i="4"/>
  <c r="J10" i="4"/>
  <c r="K9" i="4"/>
  <c r="J9" i="4"/>
  <c r="K8" i="4"/>
  <c r="J8" i="4"/>
  <c r="K7" i="4"/>
  <c r="J7" i="4"/>
  <c r="K6" i="4"/>
  <c r="J6" i="4"/>
  <c r="K5" i="4"/>
  <c r="J5" i="4"/>
  <c r="K4" i="4"/>
  <c r="J4" i="4"/>
  <c r="H4" i="4"/>
  <c r="G4" i="4"/>
  <c r="H35" i="3"/>
  <c r="G35" i="3"/>
  <c r="K34" i="3"/>
  <c r="J34" i="3"/>
  <c r="K33" i="3"/>
  <c r="J33" i="3"/>
  <c r="K32" i="3"/>
  <c r="J32" i="3"/>
  <c r="K31" i="3"/>
  <c r="J31" i="3"/>
  <c r="K30" i="3"/>
  <c r="J30" i="3"/>
  <c r="K29" i="3"/>
  <c r="J29" i="3"/>
  <c r="K28" i="3"/>
  <c r="J28" i="3"/>
  <c r="K27" i="3"/>
  <c r="J27" i="3"/>
  <c r="K26" i="3"/>
  <c r="J26" i="3"/>
  <c r="K25" i="3"/>
  <c r="J25" i="3"/>
  <c r="K24" i="3"/>
  <c r="J24" i="3"/>
  <c r="K23" i="3"/>
  <c r="J23" i="3"/>
  <c r="K22" i="3"/>
  <c r="J22" i="3"/>
  <c r="K21" i="3"/>
  <c r="J21" i="3"/>
  <c r="K20" i="3"/>
  <c r="J20" i="3"/>
  <c r="K19" i="3"/>
  <c r="J19" i="3"/>
  <c r="K18" i="3"/>
  <c r="J18" i="3"/>
  <c r="K17" i="3"/>
  <c r="J17" i="3"/>
  <c r="K16" i="3"/>
  <c r="J16" i="3"/>
  <c r="K15" i="3"/>
  <c r="J15" i="3"/>
  <c r="K14" i="3"/>
  <c r="J14" i="3"/>
  <c r="K13" i="3"/>
  <c r="J13" i="3"/>
  <c r="K12" i="3"/>
  <c r="J12" i="3"/>
  <c r="K11" i="3"/>
  <c r="J11" i="3"/>
  <c r="K10" i="3"/>
  <c r="J10" i="3"/>
  <c r="K9" i="3"/>
  <c r="J9" i="3"/>
  <c r="K8" i="3"/>
  <c r="J8" i="3"/>
  <c r="K7" i="3"/>
  <c r="J7" i="3"/>
  <c r="K6" i="3"/>
  <c r="J6" i="3"/>
  <c r="K5" i="3"/>
  <c r="J5" i="3"/>
  <c r="K4" i="3"/>
  <c r="J4" i="3"/>
  <c r="H4" i="3"/>
  <c r="G4" i="3"/>
  <c r="H35" i="2"/>
  <c r="G35" i="2"/>
  <c r="K34" i="2"/>
  <c r="J34" i="2"/>
  <c r="K33" i="2"/>
  <c r="J33" i="2"/>
  <c r="K32" i="2"/>
  <c r="J32" i="2"/>
  <c r="K31" i="2"/>
  <c r="J31" i="2"/>
  <c r="K30" i="2"/>
  <c r="J30" i="2"/>
  <c r="K29" i="2"/>
  <c r="J29" i="2"/>
  <c r="K28" i="2"/>
  <c r="J28" i="2"/>
  <c r="K27" i="2"/>
  <c r="J27" i="2"/>
  <c r="K26" i="2"/>
  <c r="J26" i="2"/>
  <c r="K25" i="2"/>
  <c r="J25" i="2"/>
  <c r="K24" i="2"/>
  <c r="J24" i="2"/>
  <c r="K23" i="2"/>
  <c r="J23" i="2"/>
  <c r="K22" i="2"/>
  <c r="J22" i="2"/>
  <c r="K21" i="2"/>
  <c r="J21" i="2"/>
  <c r="K20" i="2"/>
  <c r="J20" i="2"/>
  <c r="K19" i="2"/>
  <c r="J19" i="2"/>
  <c r="K18" i="2"/>
  <c r="J18" i="2"/>
  <c r="K17" i="2"/>
  <c r="J17" i="2"/>
  <c r="K16" i="2"/>
  <c r="J16" i="2"/>
  <c r="K15" i="2"/>
  <c r="J15" i="2"/>
  <c r="K14" i="2"/>
  <c r="J14" i="2"/>
  <c r="K13" i="2"/>
  <c r="J13" i="2"/>
  <c r="K12" i="2"/>
  <c r="J12" i="2"/>
  <c r="K11" i="2"/>
  <c r="J11" i="2"/>
  <c r="K10" i="2"/>
  <c r="J10" i="2"/>
  <c r="K9" i="2"/>
  <c r="J9" i="2"/>
  <c r="K8" i="2"/>
  <c r="J8" i="2"/>
  <c r="K7" i="2"/>
  <c r="J7" i="2"/>
  <c r="K6" i="2"/>
  <c r="J6" i="2"/>
  <c r="K5" i="2"/>
  <c r="J5" i="2"/>
  <c r="K4" i="2"/>
  <c r="J4" i="2"/>
  <c r="H4" i="2"/>
  <c r="G4" i="2"/>
  <c r="H35" i="1"/>
  <c r="G35" i="1"/>
  <c r="K34" i="1"/>
  <c r="J34" i="1"/>
  <c r="K33" i="1"/>
  <c r="J33" i="1"/>
  <c r="K32" i="1"/>
  <c r="J32" i="1"/>
  <c r="K31" i="1"/>
  <c r="J31" i="1"/>
  <c r="K30" i="1"/>
  <c r="J30" i="1"/>
  <c r="K29" i="1"/>
  <c r="J29" i="1"/>
  <c r="K28" i="1"/>
  <c r="J28" i="1"/>
  <c r="K27" i="1"/>
  <c r="J27" i="1"/>
  <c r="K26" i="1"/>
  <c r="J26" i="1"/>
  <c r="K25" i="1"/>
  <c r="J25" i="1"/>
  <c r="K24" i="1"/>
  <c r="J24" i="1"/>
  <c r="K23" i="1"/>
  <c r="J23" i="1"/>
  <c r="K22" i="1"/>
  <c r="J22" i="1"/>
  <c r="K21" i="1"/>
  <c r="J21" i="1"/>
  <c r="K20" i="1"/>
  <c r="J20" i="1"/>
  <c r="K19" i="1"/>
  <c r="J19" i="1"/>
  <c r="K18" i="1"/>
  <c r="J18" i="1"/>
  <c r="K17" i="1"/>
  <c r="J17" i="1"/>
  <c r="K16" i="1"/>
  <c r="J16" i="1"/>
  <c r="K15" i="1"/>
  <c r="J15" i="1"/>
  <c r="K14" i="1"/>
  <c r="J14" i="1"/>
  <c r="K13" i="1"/>
  <c r="J13" i="1"/>
  <c r="K12" i="1"/>
  <c r="J12" i="1"/>
  <c r="K11" i="1"/>
  <c r="J11" i="1"/>
  <c r="K10" i="1"/>
  <c r="J10" i="1"/>
  <c r="K9" i="1"/>
  <c r="J9" i="1"/>
  <c r="K8" i="1"/>
  <c r="J8" i="1"/>
  <c r="K7" i="1"/>
  <c r="J7" i="1"/>
  <c r="K6" i="1"/>
  <c r="J6" i="1"/>
  <c r="K5" i="1"/>
  <c r="J5" i="1"/>
  <c r="K4" i="1"/>
  <c r="J4" i="1"/>
  <c r="F13" i="13" l="1"/>
  <c r="D17" i="13"/>
  <c r="B10" i="14" s="1"/>
  <c r="D10" i="14" s="1"/>
  <c r="J6" i="9"/>
  <c r="K5" i="9"/>
  <c r="C13" i="13"/>
  <c r="K4" i="9"/>
  <c r="J36" i="10"/>
  <c r="K4" i="10"/>
  <c r="J5" i="10"/>
  <c r="C14" i="13"/>
  <c r="F15" i="13"/>
  <c r="C15" i="13"/>
  <c r="J5" i="11"/>
  <c r="K4" i="11"/>
  <c r="G35" i="12"/>
  <c r="E16" i="13" s="1"/>
  <c r="J4" i="12"/>
  <c r="E15" i="13"/>
  <c r="H4" i="12"/>
  <c r="H35" i="12" s="1"/>
  <c r="D16" i="13" s="1"/>
  <c r="F14" i="13"/>
  <c r="F17" i="13" l="1"/>
  <c r="B8" i="14" s="1"/>
  <c r="D8" i="14" s="1"/>
  <c r="B6" i="14"/>
  <c r="D6" i="14" s="1"/>
  <c r="J7" i="9"/>
  <c r="K6" i="9"/>
  <c r="K36" i="10"/>
  <c r="J37" i="10"/>
  <c r="K5" i="10"/>
  <c r="J6" i="10"/>
  <c r="J5" i="12"/>
  <c r="K4" i="12"/>
  <c r="C16" i="13"/>
  <c r="J6" i="11"/>
  <c r="K5" i="11"/>
  <c r="F16" i="13"/>
  <c r="K7" i="9" l="1"/>
  <c r="J8" i="9"/>
  <c r="K37" i="10"/>
  <c r="J38" i="10"/>
  <c r="K6" i="10"/>
  <c r="J7" i="10"/>
  <c r="K6" i="11"/>
  <c r="J7" i="11"/>
  <c r="J6" i="12"/>
  <c r="K5" i="12"/>
  <c r="K8" i="9" l="1"/>
  <c r="J9" i="9"/>
  <c r="K38" i="10"/>
  <c r="J39" i="10"/>
  <c r="J8" i="10"/>
  <c r="K7" i="10"/>
  <c r="J8" i="11"/>
  <c r="K7" i="11"/>
  <c r="K6" i="12"/>
  <c r="J7" i="12"/>
  <c r="K9" i="9" l="1"/>
  <c r="J10" i="9"/>
  <c r="K39" i="10"/>
  <c r="J40" i="10"/>
  <c r="J9" i="10"/>
  <c r="K8" i="10"/>
  <c r="J8" i="12"/>
  <c r="K7" i="12"/>
  <c r="J9" i="11"/>
  <c r="K8" i="11"/>
  <c r="J11" i="9" l="1"/>
  <c r="K10" i="9"/>
  <c r="J41" i="10"/>
  <c r="K40" i="10"/>
  <c r="K9" i="10"/>
  <c r="J10" i="10"/>
  <c r="K9" i="11"/>
  <c r="J10" i="11"/>
  <c r="J9" i="12"/>
  <c r="K8" i="12"/>
  <c r="J12" i="9" l="1"/>
  <c r="K11" i="9"/>
  <c r="K41" i="10"/>
  <c r="J42" i="10"/>
  <c r="K10" i="10"/>
  <c r="J11" i="10"/>
  <c r="J11" i="11"/>
  <c r="K10" i="11"/>
  <c r="K9" i="12"/>
  <c r="J10" i="12"/>
  <c r="J13" i="9" l="1"/>
  <c r="K12" i="9"/>
  <c r="K42" i="10"/>
  <c r="J43" i="10"/>
  <c r="K11" i="10"/>
  <c r="J12" i="10"/>
  <c r="J11" i="12"/>
  <c r="K10" i="12"/>
  <c r="J12" i="11"/>
  <c r="K11" i="11"/>
  <c r="K13" i="9" l="1"/>
  <c r="J14" i="9"/>
  <c r="K43" i="10"/>
  <c r="J44" i="10"/>
  <c r="K12" i="10"/>
  <c r="J13" i="10"/>
  <c r="K12" i="11"/>
  <c r="J13" i="11"/>
  <c r="J12" i="12"/>
  <c r="K11" i="12"/>
  <c r="K14" i="9" l="1"/>
  <c r="J15" i="9"/>
  <c r="K44" i="10"/>
  <c r="J45" i="10"/>
  <c r="J14" i="10"/>
  <c r="K13" i="10"/>
  <c r="K12" i="12"/>
  <c r="J13" i="12"/>
  <c r="J14" i="11"/>
  <c r="K13" i="11"/>
  <c r="K15" i="9" l="1"/>
  <c r="J16" i="9"/>
  <c r="K45" i="10"/>
  <c r="J46" i="10"/>
  <c r="J15" i="10"/>
  <c r="K14" i="10"/>
  <c r="J15" i="11"/>
  <c r="K14" i="11"/>
  <c r="J14" i="12"/>
  <c r="K13" i="12"/>
  <c r="J17" i="9" l="1"/>
  <c r="K16" i="9"/>
  <c r="J47" i="10"/>
  <c r="K46" i="10"/>
  <c r="K15" i="10"/>
  <c r="J16" i="10"/>
  <c r="J15" i="12"/>
  <c r="K14" i="12"/>
  <c r="K15" i="11"/>
  <c r="J16" i="11"/>
  <c r="J18" i="9" l="1"/>
  <c r="K17" i="9"/>
  <c r="K47" i="10"/>
  <c r="J48" i="10"/>
  <c r="K16" i="10"/>
  <c r="J17" i="10"/>
  <c r="J17" i="11"/>
  <c r="K16" i="11"/>
  <c r="K15" i="12"/>
  <c r="J16" i="12"/>
  <c r="J19" i="9" l="1"/>
  <c r="K18" i="9"/>
  <c r="J49" i="10"/>
  <c r="K48" i="10"/>
  <c r="K17" i="10"/>
  <c r="J18" i="10"/>
  <c r="J18" i="11"/>
  <c r="K17" i="11"/>
  <c r="J17" i="12"/>
  <c r="K16" i="12"/>
  <c r="K19" i="9" l="1"/>
  <c r="J20" i="9"/>
  <c r="K49" i="10"/>
  <c r="J50" i="10"/>
  <c r="K18" i="10"/>
  <c r="J19" i="10"/>
  <c r="J18" i="12"/>
  <c r="K17" i="12"/>
  <c r="K18" i="11"/>
  <c r="J19" i="11"/>
  <c r="K20" i="9" l="1"/>
  <c r="J21" i="9"/>
  <c r="K50" i="10"/>
  <c r="J51" i="10"/>
  <c r="K19" i="10"/>
  <c r="J20" i="10"/>
  <c r="J20" i="11"/>
  <c r="K19" i="11"/>
  <c r="K18" i="12"/>
  <c r="J19" i="12"/>
  <c r="K21" i="9" l="1"/>
  <c r="J22" i="9"/>
  <c r="K51" i="10"/>
  <c r="J52" i="10"/>
  <c r="J21" i="10"/>
  <c r="K20" i="10"/>
  <c r="J20" i="12"/>
  <c r="K19" i="12"/>
  <c r="J21" i="11"/>
  <c r="K20" i="11"/>
  <c r="J23" i="9" l="1"/>
  <c r="K22" i="9"/>
  <c r="J53" i="10"/>
  <c r="K52" i="10"/>
  <c r="K21" i="10"/>
  <c r="J22" i="10"/>
  <c r="J21" i="12"/>
  <c r="K20" i="12"/>
  <c r="K21" i="11"/>
  <c r="J22" i="11"/>
  <c r="J24" i="9" l="1"/>
  <c r="K23" i="9"/>
  <c r="K53" i="10"/>
  <c r="J54" i="10"/>
  <c r="J23" i="10"/>
  <c r="K22" i="10"/>
  <c r="J23" i="11"/>
  <c r="K22" i="11"/>
  <c r="K21" i="12"/>
  <c r="J22" i="12"/>
  <c r="J25" i="9" l="1"/>
  <c r="K24" i="9"/>
  <c r="K54" i="10"/>
  <c r="J55" i="10"/>
  <c r="K23" i="10"/>
  <c r="J24" i="10"/>
  <c r="J23" i="12"/>
  <c r="K22" i="12"/>
  <c r="K23" i="11"/>
  <c r="J24" i="11"/>
  <c r="K25" i="9" l="1"/>
  <c r="J26" i="9"/>
  <c r="K55" i="10"/>
  <c r="J56" i="10"/>
  <c r="K24" i="10"/>
  <c r="J25" i="10"/>
  <c r="K24" i="11"/>
  <c r="J25" i="11"/>
  <c r="J24" i="12"/>
  <c r="K23" i="12"/>
  <c r="K26" i="9" l="1"/>
  <c r="J27" i="9"/>
  <c r="K56" i="10"/>
  <c r="J57" i="10"/>
  <c r="K25" i="10"/>
  <c r="J26" i="10"/>
  <c r="K24" i="12"/>
  <c r="J25" i="12"/>
  <c r="J26" i="11"/>
  <c r="K25" i="11"/>
  <c r="K27" i="9" l="1"/>
  <c r="J28" i="9"/>
  <c r="K57" i="10"/>
  <c r="J58" i="10"/>
  <c r="J27" i="10"/>
  <c r="K26" i="10"/>
  <c r="J27" i="11"/>
  <c r="K26" i="11"/>
  <c r="J26" i="12"/>
  <c r="K25" i="12"/>
  <c r="J29" i="9" l="1"/>
  <c r="K28" i="9"/>
  <c r="J59" i="10"/>
  <c r="K58" i="10"/>
  <c r="K27" i="10"/>
  <c r="J28" i="10"/>
  <c r="J27" i="12"/>
  <c r="K26" i="12"/>
  <c r="K27" i="11"/>
  <c r="J28" i="11"/>
  <c r="J30" i="9" l="1"/>
  <c r="K29" i="9"/>
  <c r="K59" i="10"/>
  <c r="J60" i="10"/>
  <c r="K28" i="10"/>
  <c r="J29" i="10"/>
  <c r="J29" i="11"/>
  <c r="K28" i="11"/>
  <c r="J28" i="12"/>
  <c r="K27" i="12"/>
  <c r="J31" i="9" l="1"/>
  <c r="K30" i="9"/>
  <c r="K60" i="10"/>
  <c r="J61" i="10"/>
  <c r="K29" i="10"/>
  <c r="J30" i="10"/>
  <c r="J29" i="12"/>
  <c r="K28" i="12"/>
  <c r="J30" i="11"/>
  <c r="K29" i="11"/>
  <c r="K31" i="9" l="1"/>
  <c r="J32" i="9"/>
  <c r="J62" i="10"/>
  <c r="K61" i="10"/>
  <c r="K30" i="10"/>
  <c r="J31" i="10"/>
  <c r="K30" i="11"/>
  <c r="J31" i="11"/>
  <c r="J30" i="12"/>
  <c r="K29" i="12"/>
  <c r="K32" i="9" l="1"/>
  <c r="J33" i="9"/>
  <c r="K62" i="10"/>
  <c r="J63" i="10"/>
  <c r="J32" i="10"/>
  <c r="K31" i="10"/>
  <c r="K30" i="12"/>
  <c r="J31" i="12"/>
  <c r="J32" i="11"/>
  <c r="K31" i="11"/>
  <c r="K33" i="9" l="1"/>
  <c r="J34" i="9"/>
  <c r="K34" i="9" s="1"/>
  <c r="K63" i="10"/>
  <c r="J64" i="10"/>
  <c r="J33" i="10"/>
  <c r="K32" i="10"/>
  <c r="J33" i="11"/>
  <c r="K32" i="11"/>
  <c r="J32" i="12"/>
  <c r="K31" i="12"/>
  <c r="J65" i="10" l="1"/>
  <c r="K64" i="10"/>
  <c r="K33" i="10"/>
  <c r="J34" i="10"/>
  <c r="K34" i="10" s="1"/>
  <c r="J33" i="12"/>
  <c r="K32" i="12"/>
  <c r="K33" i="11"/>
  <c r="J34" i="11"/>
  <c r="K34" i="11" s="1"/>
  <c r="K65" i="10" l="1"/>
  <c r="J66" i="10"/>
  <c r="K33" i="12"/>
  <c r="J34" i="12"/>
  <c r="K34" i="12" s="1"/>
  <c r="K66" i="10" l="1"/>
  <c r="J67" i="10"/>
  <c r="K67" i="10" l="1"/>
  <c r="J68" i="10"/>
  <c r="K68" i="10" l="1"/>
  <c r="J69" i="10"/>
  <c r="K69" i="10" l="1"/>
  <c r="J70" i="10"/>
  <c r="J71" i="10" l="1"/>
  <c r="K70" i="10"/>
  <c r="K71" i="10" l="1"/>
  <c r="J72" i="10"/>
  <c r="K72" i="10" l="1"/>
  <c r="J73" i="10"/>
  <c r="K73" i="10" l="1"/>
  <c r="J74" i="10"/>
  <c r="K74" i="10" l="1"/>
  <c r="J75" i="10"/>
  <c r="K75" i="10" l="1"/>
  <c r="J76" i="10"/>
  <c r="J77" i="10" l="1"/>
  <c r="K76" i="10"/>
  <c r="K77" i="10" l="1"/>
  <c r="J78" i="10"/>
  <c r="K78" i="10" l="1"/>
  <c r="J79" i="10"/>
  <c r="K79" i="10" l="1"/>
  <c r="J80" i="10"/>
  <c r="K80" i="10" l="1"/>
  <c r="J81" i="10"/>
  <c r="K81" i="10" l="1"/>
  <c r="J82" i="10"/>
  <c r="J83" i="10" l="1"/>
  <c r="K82" i="10"/>
  <c r="K83" i="10" l="1"/>
  <c r="J84" i="10"/>
  <c r="K84" i="10" l="1"/>
  <c r="J85" i="10"/>
  <c r="J86" i="10" l="1"/>
  <c r="K85" i="10"/>
  <c r="K86" i="10" l="1"/>
  <c r="J87" i="10"/>
  <c r="K87" i="10" l="1"/>
  <c r="J88" i="10"/>
  <c r="J89" i="10" l="1"/>
  <c r="K88" i="10"/>
  <c r="K89" i="10" l="1"/>
  <c r="J90" i="10"/>
  <c r="K90" i="10" l="1"/>
  <c r="J91" i="10"/>
  <c r="K91" i="10" l="1"/>
  <c r="J92" i="10"/>
  <c r="K92" i="10" l="1"/>
  <c r="J93" i="10"/>
  <c r="K93" i="10" l="1"/>
  <c r="J94" i="10"/>
  <c r="J95" i="10" l="1"/>
  <c r="K94" i="10"/>
  <c r="K95" i="10" l="1"/>
  <c r="J96" i="10"/>
  <c r="J97" i="10" l="1"/>
  <c r="K96" i="10"/>
  <c r="J98" i="10" l="1"/>
  <c r="K97" i="10"/>
  <c r="K98" i="10" l="1"/>
  <c r="J99" i="10"/>
  <c r="K99" i="10" l="1"/>
  <c r="J100" i="10"/>
  <c r="J101" i="10" l="1"/>
  <c r="K100" i="10"/>
  <c r="K101" i="10" l="1"/>
  <c r="J102" i="10"/>
  <c r="K102" i="10" l="1"/>
  <c r="J103" i="10"/>
  <c r="K103" i="10" l="1"/>
  <c r="J104" i="10"/>
  <c r="K104" i="10" l="1"/>
  <c r="J105" i="10"/>
  <c r="K105" i="10" l="1"/>
  <c r="J106" i="10"/>
  <c r="J107" i="10" l="1"/>
  <c r="K106" i="10"/>
  <c r="K107" i="10" l="1"/>
  <c r="J108" i="10"/>
  <c r="K108" i="10" l="1"/>
  <c r="J109" i="10"/>
  <c r="J110" i="10" l="1"/>
  <c r="K109" i="10"/>
  <c r="K110" i="10" l="1"/>
  <c r="J111" i="10"/>
  <c r="K111" i="10" l="1"/>
  <c r="J112" i="10"/>
  <c r="J113" i="10" l="1"/>
  <c r="K112" i="10"/>
  <c r="K113" i="10" l="1"/>
  <c r="J114" i="10"/>
  <c r="K114" i="10" l="1"/>
  <c r="J115" i="10"/>
  <c r="J116" i="10" l="1"/>
  <c r="K115" i="10"/>
  <c r="K116" i="10" l="1"/>
  <c r="J117" i="10"/>
  <c r="K117" i="10" l="1"/>
  <c r="J118" i="10"/>
  <c r="J119" i="10" l="1"/>
  <c r="K118" i="10"/>
  <c r="K119" i="10" l="1"/>
  <c r="J120" i="10"/>
  <c r="J121" i="10" l="1"/>
  <c r="K120" i="10"/>
  <c r="K121" i="10" l="1"/>
  <c r="J122" i="10"/>
  <c r="K122" i="10" l="1"/>
  <c r="J123" i="10"/>
  <c r="K123" i="10" l="1"/>
  <c r="J124" i="10"/>
  <c r="J125" i="10" l="1"/>
  <c r="K124" i="10"/>
  <c r="K125" i="10" l="1"/>
  <c r="J126" i="10"/>
  <c r="K126" i="10" l="1"/>
  <c r="J127" i="10"/>
  <c r="K127" i="10" l="1"/>
  <c r="J128" i="10"/>
  <c r="K128" i="10" l="1"/>
  <c r="J129" i="10"/>
  <c r="K129" i="10" l="1"/>
  <c r="J130" i="10"/>
  <c r="J131" i="10" l="1"/>
  <c r="K130" i="10"/>
  <c r="K131" i="10" l="1"/>
  <c r="J132" i="10"/>
  <c r="K132" i="10" l="1"/>
  <c r="J133" i="10"/>
  <c r="K133" i="10" l="1"/>
  <c r="J134" i="10"/>
  <c r="K134" i="10" l="1"/>
  <c r="J135" i="10"/>
  <c r="K135" i="10" l="1"/>
  <c r="J136" i="10"/>
  <c r="J137" i="10" l="1"/>
  <c r="K136" i="10"/>
  <c r="K137" i="10" l="1"/>
  <c r="J138" i="10"/>
  <c r="K138" i="10" l="1"/>
  <c r="J139" i="10"/>
  <c r="K139" i="10" l="1"/>
  <c r="J140" i="10"/>
  <c r="K140" i="10" l="1"/>
  <c r="J141" i="10"/>
  <c r="K141" i="10" l="1"/>
  <c r="J142" i="10"/>
  <c r="J143" i="10" l="1"/>
  <c r="K142" i="10"/>
  <c r="K143" i="10" l="1"/>
  <c r="J144" i="10"/>
  <c r="J145" i="10" l="1"/>
  <c r="K144" i="10"/>
  <c r="K145" i="10" l="1"/>
  <c r="J146" i="10"/>
  <c r="K146" i="10" l="1"/>
  <c r="J147" i="10"/>
  <c r="K147" i="10" l="1"/>
  <c r="J148" i="10"/>
  <c r="J149" i="10" l="1"/>
  <c r="K148" i="10"/>
  <c r="K149" i="10" l="1"/>
  <c r="J150" i="10"/>
  <c r="K150" i="10" l="1"/>
  <c r="J151" i="10"/>
  <c r="J152" i="10" l="1"/>
  <c r="K152" i="10" s="1"/>
  <c r="K151" i="10"/>
</calcChain>
</file>

<file path=xl/sharedStrings.xml><?xml version="1.0" encoding="utf-8"?>
<sst xmlns="http://schemas.openxmlformats.org/spreadsheetml/2006/main" count="467" uniqueCount="253">
  <si>
    <t>هوستل الأهرامات — سجل حركة صندوق المصروفات النثرية والتشغيلية (01-يناير)</t>
  </si>
  <si>
    <t>سقف الصندوق (ج):</t>
  </si>
  <si>
    <t>حد الانذار (ج):</t>
  </si>
  <si>
    <t>رقم</t>
  </si>
  <si>
    <t>التاريخ</t>
  </si>
  <si>
    <t>رصيد افتتاحي</t>
  </si>
  <si>
    <t>رقم الاذن</t>
  </si>
  <si>
    <t>البيان</t>
  </si>
  <si>
    <t>الجهة المستلمة</t>
  </si>
  <si>
    <t>مصروف (ج)</t>
  </si>
  <si>
    <t>إيراد (ج)</t>
  </si>
  <si>
    <t>رقم الفاتورة</t>
  </si>
  <si>
    <t>رصيد متبقي</t>
  </si>
  <si>
    <t>تنبيه</t>
  </si>
  <si>
    <t>ملاحظات</t>
  </si>
  <si>
    <t>توقيع الصراف</t>
  </si>
  <si>
    <t>توقيع المراجع</t>
  </si>
  <si>
    <t>منقول</t>
  </si>
  <si>
    <t>الاجمالي</t>
  </si>
  <si>
    <t>هوستل الأهرامات — سجل حركة صندوق المصروفات النثرية والتشغيلية (02-فبراير)</t>
  </si>
  <si>
    <t>هوستل الأهرامات — سجل حركة صندوق المصروفات النثرية والتشغيلية (03-مارس)</t>
  </si>
  <si>
    <t>هوستل الأهرامات — سجل حركة صندوق المصروفات النثرية والتشغيلية (04-أبريل)</t>
  </si>
  <si>
    <t>هوستل الأهرامات — سجل حركة صندوق المصروفات النثرية والتشغيلية (05-مايو)</t>
  </si>
  <si>
    <t>هوستل الأهرامات — سجل حركة صندوق المصروفات النثرية والتشغيلية (06-يونيو)</t>
  </si>
  <si>
    <t>هوستل الأهرامات — سجل حركة صندوق المصروفات النثرية والتشغيلية (07-يوليو)</t>
  </si>
  <si>
    <t>هوستل الأهرامات — سجل حركة صندوق المصروفات النثرية والتشغيلية (08-أغسطس)</t>
  </si>
  <si>
    <t>هوستل الأهرامات — سجل حركة صندوق المصروفات النثرية والتشغيلية (10-أكتوبر)</t>
  </si>
  <si>
    <t>هوستل الأهرامات — سجل حركة صندوق المصروفات النثرية والتشغيلية (11-نوفمبر)</t>
  </si>
  <si>
    <t>هوستل الأهرامات — سجل حركة صندوق المصروفات النثرية والتشغيلية (12-ديسمبر)</t>
  </si>
  <si>
    <t>📊 لوحة متابعة ومقارنة الشهور المجمعة (Monthly Summary Dashboard)</t>
  </si>
  <si>
    <t>تحديث تلقائي مجمع لجميع شهور السنة 2026</t>
  </si>
  <si>
    <t>م</t>
  </si>
  <si>
    <t>الشهر</t>
  </si>
  <si>
    <t>رصيد بداية الشهر</t>
  </si>
  <si>
    <t>إجمالي الإيرادات التشغيلية</t>
  </si>
  <si>
    <t>إجمالي المصروفات الكلية</t>
  </si>
  <si>
    <t>صافي التغير المالي</t>
  </si>
  <si>
    <t>رصيد نهاية الشهر</t>
  </si>
  <si>
    <t>حالة الأداء والحالة المالية</t>
  </si>
  <si>
    <t>01-يناير</t>
  </si>
  <si>
    <t>02-فبراير</t>
  </si>
  <si>
    <t>03-مارس</t>
  </si>
  <si>
    <t>04-أبريل</t>
  </si>
  <si>
    <t>05-مايو</t>
  </si>
  <si>
    <t>06-يونيو</t>
  </si>
  <si>
    <t>07-يوليو</t>
  </si>
  <si>
    <t>08-أغسطس</t>
  </si>
  <si>
    <t>09-سبتمبر</t>
  </si>
  <si>
    <t>10-أكتوبر</t>
  </si>
  <si>
    <t>11-نوفمبر</t>
  </si>
  <si>
    <t>12-ديسمبر</t>
  </si>
  <si>
    <t>الإجمالي السنوي</t>
  </si>
  <si>
    <t>📈 لوحة البيانات التنفيذية التراكمية — Year To Date (YTD Dashboard 2026)</t>
  </si>
  <si>
    <t>مؤشرات الأداء المالي التراكمية (YTD Financial KPIs)</t>
  </si>
  <si>
    <t>مؤشر الأداء المالي</t>
  </si>
  <si>
    <t>القيمة التراكمية</t>
  </si>
  <si>
    <t>الوحدة / النسبة</t>
  </si>
  <si>
    <t>حالة المؤشر</t>
  </si>
  <si>
    <t>💰 إجمالي الإيرادات التراكمية (YTD Revenue)</t>
  </si>
  <si>
    <t>جنيه مصري</t>
  </si>
  <si>
    <t>💸 إجمالي المصروفات التراكمية (YTD Expenses)</t>
  </si>
  <si>
    <t>⚖️ صافي أرباح / تغيير النشاط التشغيلي</t>
  </si>
  <si>
    <t>🏦 رصيد السيولة والخزينة الحالي (Current Cash Balance)</t>
  </si>
  <si>
    <t>📊 معدل تغطية الإيرادات للمصروفات</t>
  </si>
  <si>
    <t>نسبة مئوية</t>
  </si>
  <si>
    <t>تحويل انستاباي</t>
  </si>
  <si>
    <t>توصيل قماش ظهر السراير</t>
  </si>
  <si>
    <t>باقي راتب يوسف</t>
  </si>
  <si>
    <t xml:space="preserve">سلفة ل احمد البار من مرتب شهر </t>
  </si>
  <si>
    <t>دفعة للفنانة امل</t>
  </si>
  <si>
    <t>ايراد مغسلة</t>
  </si>
  <si>
    <t>مشترك بسلك ثلاثي</t>
  </si>
  <si>
    <t>كارت شحن يوسف</t>
  </si>
  <si>
    <t>شحن وغسيل تكييف الاستقبال</t>
  </si>
  <si>
    <t>تحويل بنكي من أ محمد مرسي</t>
  </si>
  <si>
    <t>بطاريات للخزينة</t>
  </si>
  <si>
    <t xml:space="preserve">دبل فيس </t>
  </si>
  <si>
    <t>بن ضيافة</t>
  </si>
  <si>
    <t>مفك + زرادية</t>
  </si>
  <si>
    <t>مشترك بسلك</t>
  </si>
  <si>
    <t>دفعة من حساب علاء الكهربائي</t>
  </si>
  <si>
    <t>باقي 2000 جنيه</t>
  </si>
  <si>
    <t>شراء كشكول سلك</t>
  </si>
  <si>
    <t>دفعة من حساب احمد الكاميرات</t>
  </si>
  <si>
    <t>مكافأة مبيت في الفندق للموظف يوسف</t>
  </si>
  <si>
    <t>سلفة من الراتب للموظف يوسف</t>
  </si>
  <si>
    <t>ايجار غرفة 401 بسعر 1000 لليلة لمدة 8 ليالي</t>
  </si>
  <si>
    <t xml:space="preserve">دفعة مقدمة من المفروشات لشركة كوين </t>
  </si>
  <si>
    <t>عمولة تسكين الغرفة 401</t>
  </si>
  <si>
    <t xml:space="preserve">ادوات مكتبية </t>
  </si>
  <si>
    <t>غرفة 402 ليلتين</t>
  </si>
  <si>
    <t xml:space="preserve">غرفة 406 ليلتين </t>
  </si>
  <si>
    <t>افطار الغرف 5 عملاء *40 جنيه يوم 8 اغسطس</t>
  </si>
  <si>
    <t xml:space="preserve">عمولة تسكين غرفة 406 </t>
  </si>
  <si>
    <t xml:space="preserve">سبلايز للغرف </t>
  </si>
  <si>
    <t>دفعة الكهربائي الاخيرة علاء</t>
  </si>
  <si>
    <t>افطار الغرف 5 عملاء *40 جنيه يوم 9 اغسطس</t>
  </si>
  <si>
    <t>رول تواليت</t>
  </si>
  <si>
    <t>هدايا للنزلاء</t>
  </si>
  <si>
    <t xml:space="preserve">باقي حساب شركة كوين </t>
  </si>
  <si>
    <t>ايجار 7 ايام غرفة 701*1000 جنيه</t>
  </si>
  <si>
    <t xml:space="preserve">عمولة ايجار غرفة 701 </t>
  </si>
  <si>
    <t>ايجار غرفة ليلة واحدة</t>
  </si>
  <si>
    <t xml:space="preserve">عهدة مع يوسف </t>
  </si>
  <si>
    <t xml:space="preserve">غسيل خاص بالفندق مفروشات </t>
  </si>
  <si>
    <t>سلفة للموظف يوسف</t>
  </si>
  <si>
    <t xml:space="preserve">مواصلات اكتوبر ذهاب وعودة اوبر </t>
  </si>
  <si>
    <t xml:space="preserve">فرج النجار تركيب ظهور السراير الدور 1 و2 </t>
  </si>
  <si>
    <t>دفعة باقي 300</t>
  </si>
  <si>
    <t xml:space="preserve">دفعة 50% لشركة كوين للمفروشات </t>
  </si>
  <si>
    <t>PO-2026-0811-V1</t>
  </si>
  <si>
    <t xml:space="preserve">بن ضيافة </t>
  </si>
  <si>
    <t>مياه معدنية  2 كرتونة</t>
  </si>
  <si>
    <t>عدد 7 رسيفر و200 متر سلك دش</t>
  </si>
  <si>
    <t>بيد أستاذ خالد</t>
  </si>
  <si>
    <t>اخر دفعة من حساب الكراسي</t>
  </si>
  <si>
    <t>دفعة تمويل من المالك</t>
  </si>
  <si>
    <t>تم اشراء من طرف استاذ خالد مباشرة لذك تم معالجتها كايراد ومصروف خاصة بشراء الرسيفرات والسلك ودفعة الكراسي</t>
  </si>
  <si>
    <t xml:space="preserve">افطار الغرف </t>
  </si>
  <si>
    <t>شراء زاوية ومسامير للنجار</t>
  </si>
  <si>
    <t>مواصلات</t>
  </si>
  <si>
    <t xml:space="preserve">مستلزمات تركيب الرسيفر </t>
  </si>
  <si>
    <t>تمويل من المالك</t>
  </si>
  <si>
    <t xml:space="preserve">1000 دولار </t>
  </si>
  <si>
    <t xml:space="preserve">فاتورة  كهرباء شهري يوليو واغسطس </t>
  </si>
  <si>
    <t>مكافأة يوسف مبيت الشهر الماضي</t>
  </si>
  <si>
    <t>مواصلات لشركة التسويق  في المقطم لاحضار اللابتوب</t>
  </si>
  <si>
    <t xml:space="preserve">اخر دفعة من المرايات ل روماني </t>
  </si>
  <si>
    <t>شراء معطر وملمع واكياس قمامة</t>
  </si>
  <si>
    <t>بن</t>
  </si>
  <si>
    <t>افطار غرفتين يومي 13 و14 اغسطس</t>
  </si>
  <si>
    <t>حسب الكشف المرفق</t>
  </si>
  <si>
    <t>جركن زيت للمصعد 410 و 370 افطار الغرف 3 ايام و100 مسامير ومستلزمات تركيب الاسرة</t>
  </si>
  <si>
    <t xml:space="preserve">توصيل المفروشات </t>
  </si>
  <si>
    <t xml:space="preserve">باقي حساب احمد كاميرات </t>
  </si>
  <si>
    <t xml:space="preserve">تم تقفيل الحساب القديم </t>
  </si>
  <si>
    <t xml:space="preserve">باقي مكافأة يوسف </t>
  </si>
  <si>
    <t xml:space="preserve">مكافأة مبيت وعمل اضافي </t>
  </si>
  <si>
    <t>كرتون ماء 5*130</t>
  </si>
  <si>
    <t xml:space="preserve">تمويل من المالك شيك بنكي </t>
  </si>
  <si>
    <t xml:space="preserve">تمويل من المالك 2600 دولار *50.20 </t>
  </si>
  <si>
    <t>مواصلات صرف الشيك وتغيير الدولارات</t>
  </si>
  <si>
    <t>ايجار غرفتين 401 و 405 ليلة واحدة *1000 لغرفة</t>
  </si>
  <si>
    <t>ايجار شهر اغسطس</t>
  </si>
  <si>
    <t>سلفة استاذ خالد</t>
  </si>
  <si>
    <t>عند الاستاذ خالد باقي حساب بينه وبين مكرونة</t>
  </si>
  <si>
    <t>سلفة ل جومانة وجيه من الراتب</t>
  </si>
  <si>
    <t xml:space="preserve">مسامير تعليق التابلوهات في غرف الدور 1و 2 </t>
  </si>
  <si>
    <t xml:space="preserve">مصنعية النجار لتعليق البراويزوضبط الابواب </t>
  </si>
  <si>
    <t xml:space="preserve">سلفة  ل مدحت من الراتب </t>
  </si>
  <si>
    <t xml:space="preserve">تمويل من المالك </t>
  </si>
  <si>
    <t>تحويل بنكي بتاريخ اليوم</t>
  </si>
  <si>
    <t>صواني القهوة للغرف 8 وادوات مكتبية</t>
  </si>
  <si>
    <t xml:space="preserve">مجموعة تجميع السرير للنجار </t>
  </si>
  <si>
    <t>ملة سرير 160سم للجناح</t>
  </si>
  <si>
    <t>اطباق واكواب من امازون صيني وزجاج</t>
  </si>
  <si>
    <t xml:space="preserve">حساب النجار تقفيل كل شغل النجارة </t>
  </si>
  <si>
    <t>تقفيل كل الحساب القديم</t>
  </si>
  <si>
    <t xml:space="preserve">ماء وسوفت درينك </t>
  </si>
  <si>
    <t>مشتريات نسكافيه ومنظفات وعصائر</t>
  </si>
  <si>
    <t>مبيت يوسف</t>
  </si>
  <si>
    <t xml:space="preserve">غسيل السجاد </t>
  </si>
  <si>
    <t>سلفة من راتب يوسف</t>
  </si>
  <si>
    <t>مناديل ورول تواليت</t>
  </si>
  <si>
    <t>فاتورة التليفونات الارضي</t>
  </si>
  <si>
    <t>فاتورة الانترنت الارضي</t>
  </si>
  <si>
    <t>هدايا للاطفال</t>
  </si>
  <si>
    <t>لبن ومصفاة للمطبخ</t>
  </si>
  <si>
    <t>كباب وكفتة</t>
  </si>
  <si>
    <t>فاتورة ماكدوتالدز</t>
  </si>
  <si>
    <t xml:space="preserve">فاتورة بيزا هت </t>
  </si>
  <si>
    <t xml:space="preserve">سلفة من الراتب ل يوسف </t>
  </si>
  <si>
    <t>سلفة من الراتب ل جومانة</t>
  </si>
  <si>
    <t>ثلج</t>
  </si>
  <si>
    <t>شاليموه</t>
  </si>
  <si>
    <t>ايراد غرفة 406 3 ليالي</t>
  </si>
  <si>
    <t xml:space="preserve">دفعة من حساب المفروشات </t>
  </si>
  <si>
    <t xml:space="preserve">باقي 13230 دفعة اخيرة وتم استلام كل الطلبية اذن تسليم رقم بيان سعر رقم 4113 بتاريخ 22 اغسطس </t>
  </si>
  <si>
    <t xml:space="preserve">فواتير مياه 4 شهور </t>
  </si>
  <si>
    <t>فاتورة مكافحةالحشرات شهر اغسطس</t>
  </si>
  <si>
    <t>مصاريف عمل سقالة لاستكمال الرسومات</t>
  </si>
  <si>
    <t>غسيل ومكوة للمفروشات</t>
  </si>
  <si>
    <t xml:space="preserve">مصروفات  من 22 الى 24 اغسطس حسب الكشف </t>
  </si>
  <si>
    <t>سلفة من الراتب محمد المنسي</t>
  </si>
  <si>
    <t>سلفة من الراتب مدحت</t>
  </si>
  <si>
    <t>تغيير حوض حمام 301 وتغيير واصلاح خلاط اللحوض</t>
  </si>
  <si>
    <t xml:space="preserve">تمويل من المالك انستاباي </t>
  </si>
  <si>
    <t>تم التحويل على دفعتين 5000 ثم 100000</t>
  </si>
  <si>
    <t xml:space="preserve">مستلزمات السباكة حسب الفاتورة </t>
  </si>
  <si>
    <t>نقل مستلزمات السباكة</t>
  </si>
  <si>
    <t>تمويل من المالك تحويل بنكي</t>
  </si>
  <si>
    <t>دفعة من مصنعية النقاش</t>
  </si>
  <si>
    <t>مصنعية السباك</t>
  </si>
  <si>
    <t>مستلزمات النقاشة</t>
  </si>
  <si>
    <t>جزء  من حساب المغسلة</t>
  </si>
  <si>
    <t>سلفة لخالد</t>
  </si>
  <si>
    <t>كارتونة مياه</t>
  </si>
  <si>
    <t>مستلزمات كهرباء</t>
  </si>
  <si>
    <t>مواصلات ونقل  مستلزمات الكهرباء</t>
  </si>
  <si>
    <t>ادوات نظافة</t>
  </si>
  <si>
    <t>تحت حساب شبابيك السلم</t>
  </si>
  <si>
    <t>تحت حساب مصنعية الكهرباء</t>
  </si>
  <si>
    <t>باقي طلبات النقاش</t>
  </si>
  <si>
    <t>سلفة ل منة</t>
  </si>
  <si>
    <t>سلفة ل يوسف</t>
  </si>
  <si>
    <t xml:space="preserve">بن </t>
  </si>
  <si>
    <t>منظفات</t>
  </si>
  <si>
    <t>سلفة من الراتب محمد منسي</t>
  </si>
  <si>
    <t>تحت حساب سلوك ووصلات الدش والنت</t>
  </si>
  <si>
    <t>تحت حساب الويبسايت</t>
  </si>
  <si>
    <t>بخور</t>
  </si>
  <si>
    <t>مغسلة</t>
  </si>
  <si>
    <t>تم غسيل كل المفروشات والسجاد</t>
  </si>
  <si>
    <t>سلفة ل جومانا</t>
  </si>
  <si>
    <t>كرتونة ماء</t>
  </si>
  <si>
    <t>صابون بريل</t>
  </si>
  <si>
    <t>معدات نظافة</t>
  </si>
  <si>
    <t xml:space="preserve">باقي مصنعية النقاش </t>
  </si>
  <si>
    <t>شراء الوان لرسم اللوحات</t>
  </si>
  <si>
    <t>سلفة من الراتب يوسف</t>
  </si>
  <si>
    <t>الأجمالي</t>
  </si>
  <si>
    <t>ايجارغرفة 401 لمدة شهر * 500 جنيه</t>
  </si>
  <si>
    <t>ايجار غرفة 306 ليلة واحدة * 700</t>
  </si>
  <si>
    <t>افطار غرفة 401</t>
  </si>
  <si>
    <t>صابون تنظيف ارضيات</t>
  </si>
  <si>
    <t>غذاء للعمال</t>
  </si>
  <si>
    <t>دبل فيس</t>
  </si>
  <si>
    <t>سلفة منة من شهر 8</t>
  </si>
  <si>
    <t>سلفة جومانه من شهر 8</t>
  </si>
  <si>
    <t>سلك كهرباء الدورالثاني</t>
  </si>
  <si>
    <t>اصلاح ودهان وتركيب سلك شباك لعدد 4 شباك الوميتال</t>
  </si>
  <si>
    <t>شبابيك السلم</t>
  </si>
  <si>
    <t>تحت حساب مصنعية الوميتال</t>
  </si>
  <si>
    <t>سلفة يوسف من راتب شهر 8</t>
  </si>
  <si>
    <t>سلفة مدحت من راتب شهر 8</t>
  </si>
  <si>
    <t>سويتش 32 مخرج للدش + LNB</t>
  </si>
  <si>
    <t xml:space="preserve">تحت حساب مصنعيات كهربائي </t>
  </si>
  <si>
    <t>مستلزمات حمامات الغرف (صابون وشامبو)</t>
  </si>
  <si>
    <t>مستلزمات الغرف (شاي وسكر ونسكافيه)</t>
  </si>
  <si>
    <t>تم السداد على دفعات اخرها 4 سبتمبر 13500</t>
  </si>
  <si>
    <t>تحصيل من اجودا ليلة واحدة بتاريخ 23 اغسطس</t>
  </si>
  <si>
    <t>تحصيل من اجودا 3 ليالي بتاريخ 29 اغسطس</t>
  </si>
  <si>
    <t>غرفة 401</t>
  </si>
  <si>
    <t>غرفة 406</t>
  </si>
  <si>
    <t>مبيت يوسف لتغطية اجازة علي</t>
  </si>
  <si>
    <t>باقي رواتب شهر اغسطس</t>
  </si>
  <si>
    <t xml:space="preserve">باقي حساب اصلاح الشبابيك </t>
  </si>
  <si>
    <t>حساب المغسلة</t>
  </si>
  <si>
    <t>ايجار غرفة 406 ليلة واحدة</t>
  </si>
  <si>
    <t>سلفة من راتب سبتمبر مدحت</t>
  </si>
  <si>
    <t>ايجار غرفة 306 ليلتين</t>
  </si>
  <si>
    <t xml:space="preserve">عصير وماء للضيوف </t>
  </si>
  <si>
    <t xml:space="preserve">ماء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</si>
</sst>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rgb="FF5D361A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6"/>
      <color rgb="FF5D361A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0"/>
      <color rgb="FF000000"/>
      <name val="Segoe UI"/>
      <family val="2"/>
    </font>
    <font>
      <sz val="11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5D361A"/>
        <bgColor indexed="64"/>
      </patternFill>
    </fill>
    <fill>
      <patternFill patternType="solid">
        <fgColor rgb="FFB06C2B"/>
        <bgColor indexed="64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3" fillId="2" borderId="1" xfId="0" applyFont="1" applyFill="1" applyBorder="1" applyAlignment="1">
      <alignment horizontal="center"/>
    </xf>
    <xf numFmtId="0" fontId="0" fillId="0" borderId="1" xfId="0" applyBorder="1"/>
    <xf numFmtId="0" fontId="1" fillId="0" borderId="1" xfId="0" applyFont="1" applyBorder="1"/>
    <xf numFmtId="3" fontId="1" fillId="0" borderId="1" xfId="0" applyNumberFormat="1" applyFont="1" applyBorder="1"/>
    <xf numFmtId="3" fontId="0" fillId="0" borderId="1" xfId="0" applyNumberFormat="1" applyBorder="1"/>
    <xf numFmtId="0" fontId="5" fillId="0" borderId="0" xfId="0" applyFont="1"/>
    <xf numFmtId="0" fontId="3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/>
    <xf numFmtId="0" fontId="8" fillId="0" borderId="1" xfId="0" applyFont="1" applyBorder="1"/>
    <xf numFmtId="14" fontId="8" fillId="0" borderId="1" xfId="0" applyNumberFormat="1" applyFont="1" applyBorder="1"/>
    <xf numFmtId="3" fontId="8" fillId="0" borderId="1" xfId="0" applyNumberFormat="1" applyFont="1" applyBorder="1"/>
    <xf numFmtId="14" fontId="0" fillId="0" borderId="1" xfId="0" applyNumberFormat="1" applyBorder="1"/>
    <xf numFmtId="0" fontId="0" fillId="0" borderId="2" xfId="0" applyBorder="1"/>
    <xf numFmtId="14" fontId="0" fillId="0" borderId="2" xfId="0" applyNumberFormat="1" applyBorder="1"/>
    <xf numFmtId="0" fontId="8" fillId="0" borderId="2" xfId="0" applyFont="1" applyBorder="1"/>
    <xf numFmtId="3" fontId="8" fillId="0" borderId="2" xfId="0" applyNumberFormat="1" applyFont="1" applyBorder="1"/>
    <xf numFmtId="3" fontId="0" fillId="0" borderId="2" xfId="0" applyNumberFormat="1" applyBorder="1"/>
    <xf numFmtId="0" fontId="0" fillId="4" borderId="4" xfId="0" applyFill="1" applyBorder="1"/>
    <xf numFmtId="3" fontId="0" fillId="4" borderId="4" xfId="0" applyNumberFormat="1" applyFill="1" applyBorder="1"/>
    <xf numFmtId="0" fontId="0" fillId="4" borderId="5" xfId="0" applyFill="1" applyBorder="1"/>
    <xf numFmtId="16" fontId="0" fillId="0" borderId="1" xfId="0" applyNumberFormat="1" applyBorder="1"/>
    <xf numFmtId="0" fontId="2" fillId="0" borderId="0" xfId="0" applyFont="1"/>
    <xf numFmtId="0" fontId="2" fillId="0" borderId="1" xfId="0" applyFont="1" applyBorder="1"/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4" fillId="0" borderId="0" xfId="0" applyFont="1"/>
    <xf numFmtId="0" fontId="1" fillId="0" borderId="1" xfId="0" applyFont="1" applyBorder="1"/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0</xdr:row>
          <xdr:rowOff>50800</xdr:rowOff>
        </xdr:from>
        <xdr:to>
          <xdr:col>6</xdr:col>
          <xdr:colOff>762000</xdr:colOff>
          <xdr:row>1</xdr:row>
          <xdr:rowOff>146050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49</xdr:row>
          <xdr:rowOff>6350</xdr:rowOff>
        </xdr:from>
        <xdr:to>
          <xdr:col>6</xdr:col>
          <xdr:colOff>762000</xdr:colOff>
          <xdr:row>50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0</xdr:row>
          <xdr:rowOff>50800</xdr:rowOff>
        </xdr:from>
        <xdr:to>
          <xdr:col>6</xdr:col>
          <xdr:colOff>762000</xdr:colOff>
          <xdr:row>1</xdr:row>
          <xdr:rowOff>146050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49</xdr:row>
          <xdr:rowOff>6350</xdr:rowOff>
        </xdr:from>
        <xdr:to>
          <xdr:col>6</xdr:col>
          <xdr:colOff>762000</xdr:colOff>
          <xdr:row>50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0</xdr:row>
          <xdr:rowOff>50800</xdr:rowOff>
        </xdr:from>
        <xdr:to>
          <xdr:col>6</xdr:col>
          <xdr:colOff>762000</xdr:colOff>
          <xdr:row>1</xdr:row>
          <xdr:rowOff>146050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49</xdr:row>
          <xdr:rowOff>6350</xdr:rowOff>
        </xdr:from>
        <xdr:to>
          <xdr:col>6</xdr:col>
          <xdr:colOff>762000</xdr:colOff>
          <xdr:row>50</xdr:row>
          <xdr:rowOff>152400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0</xdr:row>
          <xdr:rowOff>50800</xdr:rowOff>
        </xdr:from>
        <xdr:to>
          <xdr:col>6</xdr:col>
          <xdr:colOff>762000</xdr:colOff>
          <xdr:row>1</xdr:row>
          <xdr:rowOff>146050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49</xdr:row>
          <xdr:rowOff>6350</xdr:rowOff>
        </xdr:from>
        <xdr:to>
          <xdr:col>6</xdr:col>
          <xdr:colOff>762000</xdr:colOff>
          <xdr:row>50</xdr:row>
          <xdr:rowOff>152400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0</xdr:row>
          <xdr:rowOff>50800</xdr:rowOff>
        </xdr:from>
        <xdr:to>
          <xdr:col>6</xdr:col>
          <xdr:colOff>762000</xdr:colOff>
          <xdr:row>1</xdr:row>
          <xdr:rowOff>146050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49</xdr:row>
          <xdr:rowOff>6350</xdr:rowOff>
        </xdr:from>
        <xdr:to>
          <xdr:col>6</xdr:col>
          <xdr:colOff>762000</xdr:colOff>
          <xdr:row>50</xdr:row>
          <xdr:rowOff>152400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0</xdr:row>
          <xdr:rowOff>50800</xdr:rowOff>
        </xdr:from>
        <xdr:to>
          <xdr:col>6</xdr:col>
          <xdr:colOff>762000</xdr:colOff>
          <xdr:row>1</xdr:row>
          <xdr:rowOff>146050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49</xdr:row>
          <xdr:rowOff>6350</xdr:rowOff>
        </xdr:from>
        <xdr:to>
          <xdr:col>6</xdr:col>
          <xdr:colOff>762000</xdr:colOff>
          <xdr:row>50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0</xdr:row>
          <xdr:rowOff>50800</xdr:rowOff>
        </xdr:from>
        <xdr:to>
          <xdr:col>6</xdr:col>
          <xdr:colOff>762000</xdr:colOff>
          <xdr:row>1</xdr:row>
          <xdr:rowOff>146050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49</xdr:row>
          <xdr:rowOff>6350</xdr:rowOff>
        </xdr:from>
        <xdr:to>
          <xdr:col>6</xdr:col>
          <xdr:colOff>762000</xdr:colOff>
          <xdr:row>50</xdr:row>
          <xdr:rowOff>152400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0</xdr:row>
          <xdr:rowOff>50800</xdr:rowOff>
        </xdr:from>
        <xdr:to>
          <xdr:col>6</xdr:col>
          <xdr:colOff>958850</xdr:colOff>
          <xdr:row>1</xdr:row>
          <xdr:rowOff>146050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0</xdr:row>
          <xdr:rowOff>50800</xdr:rowOff>
        </xdr:from>
        <xdr:to>
          <xdr:col>6</xdr:col>
          <xdr:colOff>762000</xdr:colOff>
          <xdr:row>1</xdr:row>
          <xdr:rowOff>146050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0</xdr:row>
          <xdr:rowOff>50800</xdr:rowOff>
        </xdr:from>
        <xdr:to>
          <xdr:col>6</xdr:col>
          <xdr:colOff>762000</xdr:colOff>
          <xdr:row>1</xdr:row>
          <xdr:rowOff>146050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49</xdr:row>
          <xdr:rowOff>6350</xdr:rowOff>
        </xdr:from>
        <xdr:to>
          <xdr:col>6</xdr:col>
          <xdr:colOff>762000</xdr:colOff>
          <xdr:row>50</xdr:row>
          <xdr:rowOff>152400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0</xdr:row>
          <xdr:rowOff>50800</xdr:rowOff>
        </xdr:from>
        <xdr:to>
          <xdr:col>6</xdr:col>
          <xdr:colOff>762000</xdr:colOff>
          <xdr:row>1</xdr:row>
          <xdr:rowOff>146050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49</xdr:row>
          <xdr:rowOff>6350</xdr:rowOff>
        </xdr:from>
        <xdr:to>
          <xdr:col>6</xdr:col>
          <xdr:colOff>762000</xdr:colOff>
          <xdr:row>50</xdr:row>
          <xdr:rowOff>152400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A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0</xdr:row>
          <xdr:rowOff>50800</xdr:rowOff>
        </xdr:from>
        <xdr:to>
          <xdr:col>6</xdr:col>
          <xdr:colOff>762000</xdr:colOff>
          <xdr:row>1</xdr:row>
          <xdr:rowOff>146050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49</xdr:row>
          <xdr:rowOff>6350</xdr:rowOff>
        </xdr:from>
        <xdr:to>
          <xdr:col>6</xdr:col>
          <xdr:colOff>762000</xdr:colOff>
          <xdr:row>50</xdr:row>
          <xdr:rowOff>152400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B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5A9CE-48A5-41F3-99D7-E85EE3437D99}">
  <sheetPr codeName="Sheet1"/>
  <dimension ref="A1:N35"/>
  <sheetViews>
    <sheetView rightToLeft="1" workbookViewId="0"/>
  </sheetViews>
  <sheetFormatPr defaultRowHeight="14.5" x14ac:dyDescent="0.35"/>
  <cols>
    <col min="1" max="1" width="8.6328125" customWidth="1"/>
    <col min="2" max="3" width="12.6328125" customWidth="1"/>
    <col min="4" max="4" width="10.6328125" customWidth="1"/>
    <col min="5" max="5" width="35.6328125" customWidth="1"/>
    <col min="6" max="6" width="20.6328125" customWidth="1"/>
    <col min="7" max="8" width="14.6328125" customWidth="1"/>
    <col min="9" max="9" width="12.6328125" customWidth="1"/>
    <col min="10" max="10" width="14.6328125" customWidth="1"/>
    <col min="11" max="11" width="18.6328125" customWidth="1"/>
    <col min="12" max="12" width="22.6328125" customWidth="1"/>
    <col min="13" max="14" width="14.6328125" customWidth="1"/>
  </cols>
  <sheetData>
    <row r="1" spans="1:14" ht="18.5" x14ac:dyDescent="0.45">
      <c r="A1" s="24" t="s">
        <v>0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</row>
    <row r="2" spans="1:14" x14ac:dyDescent="0.35">
      <c r="A2" s="1" t="s">
        <v>1</v>
      </c>
      <c r="B2" s="1"/>
      <c r="C2" s="1" t="s">
        <v>2</v>
      </c>
      <c r="D2" s="1">
        <v>5000</v>
      </c>
    </row>
    <row r="3" spans="1:14" x14ac:dyDescent="0.35">
      <c r="A3" s="2" t="s">
        <v>3</v>
      </c>
      <c r="B3" s="2" t="s">
        <v>4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L3" s="2" t="s">
        <v>14</v>
      </c>
      <c r="M3" s="2" t="s">
        <v>15</v>
      </c>
      <c r="N3" s="2" t="s">
        <v>16</v>
      </c>
    </row>
    <row r="4" spans="1:14" x14ac:dyDescent="0.35">
      <c r="A4" s="3" t="s">
        <v>17</v>
      </c>
      <c r="B4" s="3"/>
      <c r="C4" s="3"/>
      <c r="D4" s="3"/>
      <c r="E4" s="3"/>
      <c r="F4" s="3"/>
      <c r="G4" s="3">
        <v>0</v>
      </c>
      <c r="H4" s="3">
        <v>0</v>
      </c>
      <c r="I4" s="3"/>
      <c r="J4" s="3">
        <f>C4-G4+H4</f>
        <v>0</v>
      </c>
      <c r="K4" s="3" t="str">
        <f t="shared" ref="K4:K34" si="0">IF(J4&lt;200,"تنبيه: أعد التعبئة","مقبول")</f>
        <v>تنبيه: أعد التعبئة</v>
      </c>
      <c r="L4" s="3"/>
      <c r="M4" s="3"/>
      <c r="N4" s="3"/>
    </row>
    <row r="5" spans="1:14" x14ac:dyDescent="0.35">
      <c r="A5" s="3"/>
      <c r="B5" s="3"/>
      <c r="C5" s="3"/>
      <c r="D5" s="3"/>
      <c r="E5" s="3"/>
      <c r="F5" s="3"/>
      <c r="G5" s="3"/>
      <c r="H5" s="3"/>
      <c r="I5" s="3"/>
      <c r="J5" s="3">
        <f t="shared" ref="J5:J34" si="1">J4-G5+H5</f>
        <v>0</v>
      </c>
      <c r="K5" s="3" t="str">
        <f t="shared" si="0"/>
        <v>تنبيه: أعد التعبئة</v>
      </c>
      <c r="L5" s="3"/>
      <c r="M5" s="3"/>
      <c r="N5" s="3"/>
    </row>
    <row r="6" spans="1:14" x14ac:dyDescent="0.35">
      <c r="A6" s="3"/>
      <c r="B6" s="3"/>
      <c r="C6" s="3"/>
      <c r="D6" s="3"/>
      <c r="E6" s="3"/>
      <c r="F6" s="3"/>
      <c r="G6" s="3"/>
      <c r="H6" s="3"/>
      <c r="I6" s="3"/>
      <c r="J6" s="3">
        <f t="shared" si="1"/>
        <v>0</v>
      </c>
      <c r="K6" s="3" t="str">
        <f t="shared" si="0"/>
        <v>تنبيه: أعد التعبئة</v>
      </c>
      <c r="L6" s="3"/>
      <c r="M6" s="3"/>
      <c r="N6" s="3"/>
    </row>
    <row r="7" spans="1:14" x14ac:dyDescent="0.35">
      <c r="A7" s="3"/>
      <c r="B7" s="3"/>
      <c r="C7" s="3"/>
      <c r="D7" s="3"/>
      <c r="E7" s="3"/>
      <c r="F7" s="3"/>
      <c r="G7" s="3"/>
      <c r="H7" s="3"/>
      <c r="I7" s="3"/>
      <c r="J7" s="3">
        <f t="shared" si="1"/>
        <v>0</v>
      </c>
      <c r="K7" s="3" t="str">
        <f t="shared" si="0"/>
        <v>تنبيه: أعد التعبئة</v>
      </c>
      <c r="L7" s="3"/>
      <c r="M7" s="3"/>
      <c r="N7" s="3"/>
    </row>
    <row r="8" spans="1:14" x14ac:dyDescent="0.35">
      <c r="A8" s="3"/>
      <c r="B8" s="3"/>
      <c r="C8" s="3"/>
      <c r="D8" s="3"/>
      <c r="E8" s="3"/>
      <c r="F8" s="3"/>
      <c r="G8" s="3"/>
      <c r="H8" s="3"/>
      <c r="I8" s="3"/>
      <c r="J8" s="3">
        <f t="shared" si="1"/>
        <v>0</v>
      </c>
      <c r="K8" s="3" t="str">
        <f t="shared" si="0"/>
        <v>تنبيه: أعد التعبئة</v>
      </c>
      <c r="L8" s="3"/>
      <c r="M8" s="3"/>
      <c r="N8" s="3"/>
    </row>
    <row r="9" spans="1:14" x14ac:dyDescent="0.35">
      <c r="A9" s="3"/>
      <c r="B9" s="3"/>
      <c r="C9" s="3"/>
      <c r="D9" s="3"/>
      <c r="E9" s="3"/>
      <c r="F9" s="3"/>
      <c r="G9" s="3"/>
      <c r="H9" s="3"/>
      <c r="I9" s="3"/>
      <c r="J9" s="3">
        <f t="shared" si="1"/>
        <v>0</v>
      </c>
      <c r="K9" s="3" t="str">
        <f t="shared" si="0"/>
        <v>تنبيه: أعد التعبئة</v>
      </c>
      <c r="L9" s="3"/>
      <c r="M9" s="3"/>
      <c r="N9" s="3"/>
    </row>
    <row r="10" spans="1:14" x14ac:dyDescent="0.35">
      <c r="A10" s="3"/>
      <c r="B10" s="3"/>
      <c r="C10" s="3"/>
      <c r="D10" s="3"/>
      <c r="E10" s="3"/>
      <c r="F10" s="3"/>
      <c r="G10" s="3"/>
      <c r="H10" s="3"/>
      <c r="I10" s="3"/>
      <c r="J10" s="3">
        <f t="shared" si="1"/>
        <v>0</v>
      </c>
      <c r="K10" s="3" t="str">
        <f t="shared" si="0"/>
        <v>تنبيه: أعد التعبئة</v>
      </c>
      <c r="L10" s="3"/>
      <c r="M10" s="3"/>
      <c r="N10" s="3"/>
    </row>
    <row r="11" spans="1:14" x14ac:dyDescent="0.35">
      <c r="A11" s="3"/>
      <c r="B11" s="3"/>
      <c r="C11" s="3"/>
      <c r="D11" s="3"/>
      <c r="E11" s="3"/>
      <c r="F11" s="3"/>
      <c r="G11" s="3"/>
      <c r="H11" s="3"/>
      <c r="I11" s="3"/>
      <c r="J11" s="3">
        <f t="shared" si="1"/>
        <v>0</v>
      </c>
      <c r="K11" s="3" t="str">
        <f t="shared" si="0"/>
        <v>تنبيه: أعد التعبئة</v>
      </c>
      <c r="L11" s="3"/>
      <c r="M11" s="3"/>
      <c r="N11" s="3"/>
    </row>
    <row r="12" spans="1:14" x14ac:dyDescent="0.35">
      <c r="A12" s="3"/>
      <c r="B12" s="3"/>
      <c r="C12" s="3"/>
      <c r="D12" s="3"/>
      <c r="E12" s="3"/>
      <c r="F12" s="3"/>
      <c r="G12" s="3"/>
      <c r="H12" s="3"/>
      <c r="I12" s="3"/>
      <c r="J12" s="3">
        <f t="shared" si="1"/>
        <v>0</v>
      </c>
      <c r="K12" s="3" t="str">
        <f t="shared" si="0"/>
        <v>تنبيه: أعد التعبئة</v>
      </c>
      <c r="L12" s="3"/>
      <c r="M12" s="3"/>
      <c r="N12" s="3"/>
    </row>
    <row r="13" spans="1:14" x14ac:dyDescent="0.35">
      <c r="A13" s="3"/>
      <c r="B13" s="3"/>
      <c r="C13" s="3"/>
      <c r="D13" s="3"/>
      <c r="E13" s="3"/>
      <c r="F13" s="3"/>
      <c r="G13" s="3"/>
      <c r="H13" s="3"/>
      <c r="I13" s="3"/>
      <c r="J13" s="3">
        <f t="shared" si="1"/>
        <v>0</v>
      </c>
      <c r="K13" s="3" t="str">
        <f t="shared" si="0"/>
        <v>تنبيه: أعد التعبئة</v>
      </c>
      <c r="L13" s="3"/>
      <c r="M13" s="3"/>
      <c r="N13" s="3"/>
    </row>
    <row r="14" spans="1:14" x14ac:dyDescent="0.35">
      <c r="A14" s="3"/>
      <c r="B14" s="3"/>
      <c r="C14" s="3"/>
      <c r="D14" s="3"/>
      <c r="E14" s="3"/>
      <c r="F14" s="3"/>
      <c r="G14" s="3"/>
      <c r="H14" s="3"/>
      <c r="I14" s="3"/>
      <c r="J14" s="3">
        <f t="shared" si="1"/>
        <v>0</v>
      </c>
      <c r="K14" s="3" t="str">
        <f t="shared" si="0"/>
        <v>تنبيه: أعد التعبئة</v>
      </c>
      <c r="L14" s="3"/>
      <c r="M14" s="3"/>
      <c r="N14" s="3"/>
    </row>
    <row r="15" spans="1:14" x14ac:dyDescent="0.35">
      <c r="A15" s="3"/>
      <c r="B15" s="3"/>
      <c r="C15" s="3"/>
      <c r="D15" s="3"/>
      <c r="E15" s="3"/>
      <c r="F15" s="3"/>
      <c r="G15" s="3"/>
      <c r="H15" s="3"/>
      <c r="I15" s="3"/>
      <c r="J15" s="3">
        <f t="shared" si="1"/>
        <v>0</v>
      </c>
      <c r="K15" s="3" t="str">
        <f t="shared" si="0"/>
        <v>تنبيه: أعد التعبئة</v>
      </c>
      <c r="L15" s="3"/>
      <c r="M15" s="3"/>
      <c r="N15" s="3"/>
    </row>
    <row r="16" spans="1:14" x14ac:dyDescent="0.35">
      <c r="A16" s="3"/>
      <c r="B16" s="3"/>
      <c r="C16" s="3"/>
      <c r="D16" s="3"/>
      <c r="E16" s="3"/>
      <c r="F16" s="3"/>
      <c r="G16" s="3"/>
      <c r="H16" s="3"/>
      <c r="I16" s="3"/>
      <c r="J16" s="3">
        <f t="shared" si="1"/>
        <v>0</v>
      </c>
      <c r="K16" s="3" t="str">
        <f t="shared" si="0"/>
        <v>تنبيه: أعد التعبئة</v>
      </c>
      <c r="L16" s="3"/>
      <c r="M16" s="3"/>
      <c r="N16" s="3"/>
    </row>
    <row r="17" spans="1:14" x14ac:dyDescent="0.35">
      <c r="A17" s="3"/>
      <c r="B17" s="3"/>
      <c r="C17" s="3"/>
      <c r="D17" s="3"/>
      <c r="E17" s="3"/>
      <c r="F17" s="3"/>
      <c r="G17" s="3"/>
      <c r="H17" s="3"/>
      <c r="I17" s="3"/>
      <c r="J17" s="3">
        <f t="shared" si="1"/>
        <v>0</v>
      </c>
      <c r="K17" s="3" t="str">
        <f t="shared" si="0"/>
        <v>تنبيه: أعد التعبئة</v>
      </c>
      <c r="L17" s="3"/>
      <c r="M17" s="3"/>
      <c r="N17" s="3"/>
    </row>
    <row r="18" spans="1:14" x14ac:dyDescent="0.35">
      <c r="A18" s="3"/>
      <c r="B18" s="3"/>
      <c r="C18" s="3"/>
      <c r="D18" s="3"/>
      <c r="E18" s="3"/>
      <c r="F18" s="3"/>
      <c r="G18" s="3"/>
      <c r="H18" s="3"/>
      <c r="I18" s="3"/>
      <c r="J18" s="3">
        <f t="shared" si="1"/>
        <v>0</v>
      </c>
      <c r="K18" s="3" t="str">
        <f t="shared" si="0"/>
        <v>تنبيه: أعد التعبئة</v>
      </c>
      <c r="L18" s="3"/>
      <c r="M18" s="3"/>
      <c r="N18" s="3"/>
    </row>
    <row r="19" spans="1:14" x14ac:dyDescent="0.35">
      <c r="A19" s="3"/>
      <c r="B19" s="3"/>
      <c r="C19" s="3"/>
      <c r="D19" s="3"/>
      <c r="E19" s="3"/>
      <c r="F19" s="3"/>
      <c r="G19" s="3"/>
      <c r="H19" s="3"/>
      <c r="I19" s="3"/>
      <c r="J19" s="3">
        <f t="shared" si="1"/>
        <v>0</v>
      </c>
      <c r="K19" s="3" t="str">
        <f t="shared" si="0"/>
        <v>تنبيه: أعد التعبئة</v>
      </c>
      <c r="L19" s="3"/>
      <c r="M19" s="3"/>
      <c r="N19" s="3"/>
    </row>
    <row r="20" spans="1:14" x14ac:dyDescent="0.35">
      <c r="A20" s="3"/>
      <c r="B20" s="3"/>
      <c r="C20" s="3"/>
      <c r="D20" s="3"/>
      <c r="E20" s="3"/>
      <c r="F20" s="3"/>
      <c r="G20" s="3"/>
      <c r="H20" s="3"/>
      <c r="I20" s="3"/>
      <c r="J20" s="3">
        <f t="shared" si="1"/>
        <v>0</v>
      </c>
      <c r="K20" s="3" t="str">
        <f t="shared" si="0"/>
        <v>تنبيه: أعد التعبئة</v>
      </c>
      <c r="L20" s="3"/>
      <c r="M20" s="3"/>
      <c r="N20" s="3"/>
    </row>
    <row r="21" spans="1:14" x14ac:dyDescent="0.35">
      <c r="A21" s="3"/>
      <c r="B21" s="3"/>
      <c r="C21" s="3"/>
      <c r="D21" s="3"/>
      <c r="E21" s="3"/>
      <c r="F21" s="3"/>
      <c r="G21" s="3"/>
      <c r="H21" s="3"/>
      <c r="I21" s="3"/>
      <c r="J21" s="3">
        <f t="shared" si="1"/>
        <v>0</v>
      </c>
      <c r="K21" s="3" t="str">
        <f t="shared" si="0"/>
        <v>تنبيه: أعد التعبئة</v>
      </c>
      <c r="L21" s="3"/>
      <c r="M21" s="3"/>
      <c r="N21" s="3"/>
    </row>
    <row r="22" spans="1:14" x14ac:dyDescent="0.35">
      <c r="A22" s="3"/>
      <c r="B22" s="3"/>
      <c r="C22" s="3"/>
      <c r="D22" s="3"/>
      <c r="E22" s="3"/>
      <c r="F22" s="3"/>
      <c r="G22" s="3"/>
      <c r="H22" s="3"/>
      <c r="I22" s="3"/>
      <c r="J22" s="3">
        <f t="shared" si="1"/>
        <v>0</v>
      </c>
      <c r="K22" s="3" t="str">
        <f t="shared" si="0"/>
        <v>تنبيه: أعد التعبئة</v>
      </c>
      <c r="L22" s="3"/>
      <c r="M22" s="3"/>
      <c r="N22" s="3"/>
    </row>
    <row r="23" spans="1:14" x14ac:dyDescent="0.35">
      <c r="A23" s="3"/>
      <c r="B23" s="3"/>
      <c r="C23" s="3"/>
      <c r="D23" s="3"/>
      <c r="E23" s="3"/>
      <c r="F23" s="3"/>
      <c r="G23" s="3"/>
      <c r="H23" s="3"/>
      <c r="I23" s="3"/>
      <c r="J23" s="3">
        <f t="shared" si="1"/>
        <v>0</v>
      </c>
      <c r="K23" s="3" t="str">
        <f t="shared" si="0"/>
        <v>تنبيه: أعد التعبئة</v>
      </c>
      <c r="L23" s="3"/>
      <c r="M23" s="3"/>
      <c r="N23" s="3"/>
    </row>
    <row r="24" spans="1:14" x14ac:dyDescent="0.35">
      <c r="A24" s="3"/>
      <c r="B24" s="3"/>
      <c r="C24" s="3"/>
      <c r="D24" s="3"/>
      <c r="E24" s="3"/>
      <c r="F24" s="3"/>
      <c r="G24" s="3"/>
      <c r="H24" s="3"/>
      <c r="I24" s="3"/>
      <c r="J24" s="3">
        <f t="shared" si="1"/>
        <v>0</v>
      </c>
      <c r="K24" s="3" t="str">
        <f t="shared" si="0"/>
        <v>تنبيه: أعد التعبئة</v>
      </c>
      <c r="L24" s="3"/>
      <c r="M24" s="3"/>
      <c r="N24" s="3"/>
    </row>
    <row r="25" spans="1:14" x14ac:dyDescent="0.35">
      <c r="A25" s="3"/>
      <c r="B25" s="3"/>
      <c r="C25" s="3"/>
      <c r="D25" s="3"/>
      <c r="E25" s="3"/>
      <c r="F25" s="3"/>
      <c r="G25" s="3"/>
      <c r="H25" s="3"/>
      <c r="I25" s="3"/>
      <c r="J25" s="3">
        <f t="shared" si="1"/>
        <v>0</v>
      </c>
      <c r="K25" s="3" t="str">
        <f t="shared" si="0"/>
        <v>تنبيه: أعد التعبئة</v>
      </c>
      <c r="L25" s="3"/>
      <c r="M25" s="3"/>
      <c r="N25" s="3"/>
    </row>
    <row r="26" spans="1:14" x14ac:dyDescent="0.35">
      <c r="A26" s="3"/>
      <c r="B26" s="3"/>
      <c r="C26" s="3"/>
      <c r="D26" s="3"/>
      <c r="E26" s="3"/>
      <c r="F26" s="3"/>
      <c r="G26" s="3"/>
      <c r="H26" s="3"/>
      <c r="I26" s="3"/>
      <c r="J26" s="3">
        <f t="shared" si="1"/>
        <v>0</v>
      </c>
      <c r="K26" s="3" t="str">
        <f t="shared" si="0"/>
        <v>تنبيه: أعد التعبئة</v>
      </c>
      <c r="L26" s="3"/>
      <c r="M26" s="3"/>
      <c r="N26" s="3"/>
    </row>
    <row r="27" spans="1:14" x14ac:dyDescent="0.35">
      <c r="A27" s="3"/>
      <c r="B27" s="3"/>
      <c r="C27" s="3"/>
      <c r="D27" s="3"/>
      <c r="E27" s="3"/>
      <c r="F27" s="3"/>
      <c r="G27" s="3"/>
      <c r="H27" s="3"/>
      <c r="I27" s="3"/>
      <c r="J27" s="3">
        <f t="shared" si="1"/>
        <v>0</v>
      </c>
      <c r="K27" s="3" t="str">
        <f t="shared" si="0"/>
        <v>تنبيه: أعد التعبئة</v>
      </c>
      <c r="L27" s="3"/>
      <c r="M27" s="3"/>
      <c r="N27" s="3"/>
    </row>
    <row r="28" spans="1:14" x14ac:dyDescent="0.35">
      <c r="A28" s="3"/>
      <c r="B28" s="3"/>
      <c r="C28" s="3"/>
      <c r="D28" s="3"/>
      <c r="E28" s="3"/>
      <c r="F28" s="3"/>
      <c r="G28" s="3"/>
      <c r="H28" s="3"/>
      <c r="I28" s="3"/>
      <c r="J28" s="3">
        <f t="shared" si="1"/>
        <v>0</v>
      </c>
      <c r="K28" s="3" t="str">
        <f t="shared" si="0"/>
        <v>تنبيه: أعد التعبئة</v>
      </c>
      <c r="L28" s="3"/>
      <c r="M28" s="3"/>
      <c r="N28" s="3"/>
    </row>
    <row r="29" spans="1:14" x14ac:dyDescent="0.35">
      <c r="A29" s="3"/>
      <c r="B29" s="3"/>
      <c r="C29" s="3"/>
      <c r="D29" s="3"/>
      <c r="E29" s="3"/>
      <c r="F29" s="3"/>
      <c r="G29" s="3"/>
      <c r="H29" s="3"/>
      <c r="I29" s="3"/>
      <c r="J29" s="3">
        <f t="shared" si="1"/>
        <v>0</v>
      </c>
      <c r="K29" s="3" t="str">
        <f t="shared" si="0"/>
        <v>تنبيه: أعد التعبئة</v>
      </c>
      <c r="L29" s="3"/>
      <c r="M29" s="3"/>
      <c r="N29" s="3"/>
    </row>
    <row r="30" spans="1:14" x14ac:dyDescent="0.35">
      <c r="A30" s="3"/>
      <c r="B30" s="3"/>
      <c r="C30" s="3"/>
      <c r="D30" s="3"/>
      <c r="E30" s="3"/>
      <c r="F30" s="3"/>
      <c r="G30" s="3"/>
      <c r="H30" s="3"/>
      <c r="I30" s="3"/>
      <c r="J30" s="3">
        <f t="shared" si="1"/>
        <v>0</v>
      </c>
      <c r="K30" s="3" t="str">
        <f t="shared" si="0"/>
        <v>تنبيه: أعد التعبئة</v>
      </c>
      <c r="L30" s="3"/>
      <c r="M30" s="3"/>
      <c r="N30" s="3"/>
    </row>
    <row r="31" spans="1:14" x14ac:dyDescent="0.35">
      <c r="A31" s="3"/>
      <c r="B31" s="3"/>
      <c r="C31" s="3"/>
      <c r="D31" s="3"/>
      <c r="E31" s="3"/>
      <c r="F31" s="3"/>
      <c r="G31" s="3"/>
      <c r="H31" s="3"/>
      <c r="I31" s="3"/>
      <c r="J31" s="3">
        <f t="shared" si="1"/>
        <v>0</v>
      </c>
      <c r="K31" s="3" t="str">
        <f t="shared" si="0"/>
        <v>تنبيه: أعد التعبئة</v>
      </c>
      <c r="L31" s="3"/>
      <c r="M31" s="3"/>
      <c r="N31" s="3"/>
    </row>
    <row r="32" spans="1:14" x14ac:dyDescent="0.35">
      <c r="A32" s="3"/>
      <c r="B32" s="3"/>
      <c r="C32" s="3"/>
      <c r="D32" s="3"/>
      <c r="E32" s="3"/>
      <c r="F32" s="3"/>
      <c r="G32" s="3"/>
      <c r="H32" s="3"/>
      <c r="I32" s="3"/>
      <c r="J32" s="3">
        <f t="shared" si="1"/>
        <v>0</v>
      </c>
      <c r="K32" s="3" t="str">
        <f t="shared" si="0"/>
        <v>تنبيه: أعد التعبئة</v>
      </c>
      <c r="L32" s="3"/>
      <c r="M32" s="3"/>
      <c r="N32" s="3"/>
    </row>
    <row r="33" spans="1:14" x14ac:dyDescent="0.35">
      <c r="A33" s="3"/>
      <c r="B33" s="3"/>
      <c r="C33" s="3"/>
      <c r="D33" s="3"/>
      <c r="E33" s="3"/>
      <c r="F33" s="3"/>
      <c r="G33" s="3"/>
      <c r="H33" s="3"/>
      <c r="I33" s="3"/>
      <c r="J33" s="3">
        <f t="shared" si="1"/>
        <v>0</v>
      </c>
      <c r="K33" s="3" t="str">
        <f t="shared" si="0"/>
        <v>تنبيه: أعد التعبئة</v>
      </c>
      <c r="L33" s="3"/>
      <c r="M33" s="3"/>
      <c r="N33" s="3"/>
    </row>
    <row r="34" spans="1:14" x14ac:dyDescent="0.35">
      <c r="A34" s="3"/>
      <c r="B34" s="3"/>
      <c r="C34" s="3"/>
      <c r="D34" s="3"/>
      <c r="E34" s="3"/>
      <c r="F34" s="3"/>
      <c r="G34" s="3"/>
      <c r="H34" s="3"/>
      <c r="I34" s="3"/>
      <c r="J34" s="3">
        <f t="shared" si="1"/>
        <v>0</v>
      </c>
      <c r="K34" s="3" t="str">
        <f t="shared" si="0"/>
        <v>تنبيه: أعد التعبئة</v>
      </c>
      <c r="L34" s="3"/>
      <c r="M34" s="3"/>
      <c r="N34" s="3"/>
    </row>
    <row r="35" spans="1:14" x14ac:dyDescent="0.35">
      <c r="A35" s="4" t="s">
        <v>18</v>
      </c>
      <c r="B35" s="3"/>
      <c r="C35" s="3"/>
      <c r="D35" s="3"/>
      <c r="E35" s="3"/>
      <c r="F35" s="3"/>
      <c r="G35" s="5">
        <f>SUM(G4:G34)</f>
        <v>0</v>
      </c>
      <c r="H35" s="5">
        <f>SUM(H4:H34)</f>
        <v>0</v>
      </c>
      <c r="I35" s="3"/>
      <c r="J35" s="3"/>
      <c r="K35" s="3"/>
      <c r="L35" s="3"/>
      <c r="M35" s="3"/>
      <c r="N35" s="3"/>
    </row>
  </sheetData>
  <mergeCells count="1">
    <mergeCell ref="A1:N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0</xdr:row>
                    <xdr:rowOff>50800</xdr:rowOff>
                  </from>
                  <to>
                    <xdr:col>6</xdr:col>
                    <xdr:colOff>762000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49</xdr:row>
                    <xdr:rowOff>6350</xdr:rowOff>
                  </from>
                  <to>
                    <xdr:col>6</xdr:col>
                    <xdr:colOff>762000</xdr:colOff>
                    <xdr:row>50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73943-45F8-49AF-BDB1-455EA82DBE42}">
  <sheetPr codeName="Sheet2"/>
  <dimension ref="A1:N35"/>
  <sheetViews>
    <sheetView rightToLeft="1" workbookViewId="0"/>
  </sheetViews>
  <sheetFormatPr defaultRowHeight="14.5" x14ac:dyDescent="0.35"/>
  <cols>
    <col min="1" max="1" width="8.6328125" customWidth="1"/>
    <col min="2" max="3" width="12.6328125" customWidth="1"/>
    <col min="4" max="4" width="10.6328125" customWidth="1"/>
    <col min="5" max="5" width="35.6328125" customWidth="1"/>
    <col min="6" max="6" width="20.6328125" customWidth="1"/>
    <col min="7" max="8" width="14.6328125" customWidth="1"/>
    <col min="9" max="9" width="12.6328125" customWidth="1"/>
    <col min="10" max="10" width="14.6328125" customWidth="1"/>
    <col min="11" max="11" width="18.6328125" customWidth="1"/>
    <col min="12" max="12" width="22.6328125" customWidth="1"/>
    <col min="13" max="14" width="14.6328125" customWidth="1"/>
  </cols>
  <sheetData>
    <row r="1" spans="1:14" ht="18.5" x14ac:dyDescent="0.45">
      <c r="A1" s="24" t="s">
        <v>19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</row>
    <row r="2" spans="1:14" x14ac:dyDescent="0.35">
      <c r="A2" s="1" t="s">
        <v>1</v>
      </c>
      <c r="B2" s="1"/>
      <c r="C2" s="1" t="s">
        <v>2</v>
      </c>
      <c r="D2" s="1">
        <v>5000</v>
      </c>
    </row>
    <row r="3" spans="1:14" x14ac:dyDescent="0.35">
      <c r="A3" s="2" t="s">
        <v>3</v>
      </c>
      <c r="B3" s="2" t="s">
        <v>4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L3" s="2" t="s">
        <v>14</v>
      </c>
      <c r="M3" s="2" t="s">
        <v>15</v>
      </c>
      <c r="N3" s="2" t="s">
        <v>16</v>
      </c>
    </row>
    <row r="4" spans="1:14" x14ac:dyDescent="0.35">
      <c r="A4" s="3" t="s">
        <v>17</v>
      </c>
      <c r="B4" s="3"/>
      <c r="C4" s="3"/>
      <c r="D4" s="3"/>
      <c r="E4" s="3"/>
      <c r="F4" s="3"/>
      <c r="G4" s="6">
        <f>'01-يناير'!G35</f>
        <v>0</v>
      </c>
      <c r="H4" s="6">
        <f>'01-يناير'!H35</f>
        <v>0</v>
      </c>
      <c r="I4" s="3"/>
      <c r="J4" s="6">
        <f>C4-G4+H4</f>
        <v>0</v>
      </c>
      <c r="K4" s="3" t="str">
        <f t="shared" ref="K4:K34" si="0">IF(J4&lt;200,"تنبيه: أعد التعبئة","مقبول")</f>
        <v>تنبيه: أعد التعبئة</v>
      </c>
      <c r="L4" s="3"/>
      <c r="M4" s="3"/>
      <c r="N4" s="3"/>
    </row>
    <row r="5" spans="1:14" x14ac:dyDescent="0.35">
      <c r="A5" s="3"/>
      <c r="B5" s="3"/>
      <c r="C5" s="3"/>
      <c r="D5" s="3"/>
      <c r="E5" s="3"/>
      <c r="F5" s="3"/>
      <c r="G5" s="3"/>
      <c r="H5" s="3"/>
      <c r="I5" s="3"/>
      <c r="J5" s="6">
        <f t="shared" ref="J5:J34" si="1">J4-G5+H5</f>
        <v>0</v>
      </c>
      <c r="K5" s="3" t="str">
        <f t="shared" si="0"/>
        <v>تنبيه: أعد التعبئة</v>
      </c>
      <c r="L5" s="3"/>
      <c r="M5" s="3"/>
      <c r="N5" s="3"/>
    </row>
    <row r="6" spans="1:14" x14ac:dyDescent="0.35">
      <c r="A6" s="3"/>
      <c r="B6" s="3"/>
      <c r="C6" s="3"/>
      <c r="D6" s="3"/>
      <c r="E6" s="3"/>
      <c r="F6" s="3"/>
      <c r="G6" s="3"/>
      <c r="H6" s="3"/>
      <c r="I6" s="3"/>
      <c r="J6" s="6">
        <f t="shared" si="1"/>
        <v>0</v>
      </c>
      <c r="K6" s="3" t="str">
        <f t="shared" si="0"/>
        <v>تنبيه: أعد التعبئة</v>
      </c>
      <c r="L6" s="3"/>
      <c r="M6" s="3"/>
      <c r="N6" s="3"/>
    </row>
    <row r="7" spans="1:14" x14ac:dyDescent="0.35">
      <c r="A7" s="3"/>
      <c r="B7" s="3"/>
      <c r="C7" s="3"/>
      <c r="D7" s="3"/>
      <c r="E7" s="3"/>
      <c r="F7" s="3"/>
      <c r="G7" s="3"/>
      <c r="H7" s="3"/>
      <c r="I7" s="3"/>
      <c r="J7" s="6">
        <f t="shared" si="1"/>
        <v>0</v>
      </c>
      <c r="K7" s="3" t="str">
        <f t="shared" si="0"/>
        <v>تنبيه: أعد التعبئة</v>
      </c>
      <c r="L7" s="3"/>
      <c r="M7" s="3"/>
      <c r="N7" s="3"/>
    </row>
    <row r="8" spans="1:14" x14ac:dyDescent="0.35">
      <c r="A8" s="3"/>
      <c r="B8" s="3"/>
      <c r="C8" s="3"/>
      <c r="D8" s="3"/>
      <c r="E8" s="3"/>
      <c r="F8" s="3"/>
      <c r="G8" s="3"/>
      <c r="H8" s="3"/>
      <c r="I8" s="3"/>
      <c r="J8" s="6">
        <f t="shared" si="1"/>
        <v>0</v>
      </c>
      <c r="K8" s="3" t="str">
        <f t="shared" si="0"/>
        <v>تنبيه: أعد التعبئة</v>
      </c>
      <c r="L8" s="3"/>
      <c r="M8" s="3"/>
      <c r="N8" s="3"/>
    </row>
    <row r="9" spans="1:14" x14ac:dyDescent="0.35">
      <c r="A9" s="3"/>
      <c r="B9" s="3"/>
      <c r="C9" s="3"/>
      <c r="D9" s="3"/>
      <c r="E9" s="3"/>
      <c r="F9" s="3"/>
      <c r="G9" s="3"/>
      <c r="H9" s="3"/>
      <c r="I9" s="3"/>
      <c r="J9" s="6">
        <f t="shared" si="1"/>
        <v>0</v>
      </c>
      <c r="K9" s="3" t="str">
        <f t="shared" si="0"/>
        <v>تنبيه: أعد التعبئة</v>
      </c>
      <c r="L9" s="3"/>
      <c r="M9" s="3"/>
      <c r="N9" s="3"/>
    </row>
    <row r="10" spans="1:14" x14ac:dyDescent="0.35">
      <c r="A10" s="3"/>
      <c r="B10" s="3"/>
      <c r="C10" s="3"/>
      <c r="D10" s="3"/>
      <c r="E10" s="3"/>
      <c r="F10" s="3"/>
      <c r="G10" s="3"/>
      <c r="H10" s="3"/>
      <c r="I10" s="3"/>
      <c r="J10" s="6">
        <f t="shared" si="1"/>
        <v>0</v>
      </c>
      <c r="K10" s="3" t="str">
        <f t="shared" si="0"/>
        <v>تنبيه: أعد التعبئة</v>
      </c>
      <c r="L10" s="3"/>
      <c r="M10" s="3"/>
      <c r="N10" s="3"/>
    </row>
    <row r="11" spans="1:14" x14ac:dyDescent="0.35">
      <c r="A11" s="3"/>
      <c r="B11" s="3"/>
      <c r="C11" s="3"/>
      <c r="D11" s="3"/>
      <c r="E11" s="3"/>
      <c r="F11" s="3"/>
      <c r="G11" s="3"/>
      <c r="H11" s="3"/>
      <c r="I11" s="3"/>
      <c r="J11" s="6">
        <f t="shared" si="1"/>
        <v>0</v>
      </c>
      <c r="K11" s="3" t="str">
        <f t="shared" si="0"/>
        <v>تنبيه: أعد التعبئة</v>
      </c>
      <c r="L11" s="3"/>
      <c r="M11" s="3"/>
      <c r="N11" s="3"/>
    </row>
    <row r="12" spans="1:14" x14ac:dyDescent="0.35">
      <c r="A12" s="3"/>
      <c r="B12" s="3"/>
      <c r="C12" s="3"/>
      <c r="D12" s="3"/>
      <c r="E12" s="3"/>
      <c r="F12" s="3"/>
      <c r="G12" s="3"/>
      <c r="H12" s="3"/>
      <c r="I12" s="3"/>
      <c r="J12" s="6">
        <f t="shared" si="1"/>
        <v>0</v>
      </c>
      <c r="K12" s="3" t="str">
        <f t="shared" si="0"/>
        <v>تنبيه: أعد التعبئة</v>
      </c>
      <c r="L12" s="3"/>
      <c r="M12" s="3"/>
      <c r="N12" s="3"/>
    </row>
    <row r="13" spans="1:14" x14ac:dyDescent="0.35">
      <c r="A13" s="3"/>
      <c r="B13" s="3"/>
      <c r="C13" s="3"/>
      <c r="D13" s="3"/>
      <c r="E13" s="3"/>
      <c r="F13" s="3"/>
      <c r="G13" s="3"/>
      <c r="H13" s="3"/>
      <c r="I13" s="3"/>
      <c r="J13" s="6">
        <f t="shared" si="1"/>
        <v>0</v>
      </c>
      <c r="K13" s="3" t="str">
        <f t="shared" si="0"/>
        <v>تنبيه: أعد التعبئة</v>
      </c>
      <c r="L13" s="3"/>
      <c r="M13" s="3"/>
      <c r="N13" s="3"/>
    </row>
    <row r="14" spans="1:14" x14ac:dyDescent="0.35">
      <c r="A14" s="3"/>
      <c r="B14" s="3"/>
      <c r="C14" s="3"/>
      <c r="D14" s="3"/>
      <c r="E14" s="3"/>
      <c r="F14" s="3"/>
      <c r="G14" s="3"/>
      <c r="H14" s="3"/>
      <c r="I14" s="3"/>
      <c r="J14" s="6">
        <f t="shared" si="1"/>
        <v>0</v>
      </c>
      <c r="K14" s="3" t="str">
        <f t="shared" si="0"/>
        <v>تنبيه: أعد التعبئة</v>
      </c>
      <c r="L14" s="3"/>
      <c r="M14" s="3"/>
      <c r="N14" s="3"/>
    </row>
    <row r="15" spans="1:14" x14ac:dyDescent="0.35">
      <c r="A15" s="3"/>
      <c r="B15" s="3"/>
      <c r="C15" s="3"/>
      <c r="D15" s="3"/>
      <c r="E15" s="3"/>
      <c r="F15" s="3"/>
      <c r="G15" s="3"/>
      <c r="H15" s="3"/>
      <c r="I15" s="3"/>
      <c r="J15" s="6">
        <f t="shared" si="1"/>
        <v>0</v>
      </c>
      <c r="K15" s="3" t="str">
        <f t="shared" si="0"/>
        <v>تنبيه: أعد التعبئة</v>
      </c>
      <c r="L15" s="3"/>
      <c r="M15" s="3"/>
      <c r="N15" s="3"/>
    </row>
    <row r="16" spans="1:14" x14ac:dyDescent="0.35">
      <c r="A16" s="3"/>
      <c r="B16" s="3"/>
      <c r="C16" s="3"/>
      <c r="D16" s="3"/>
      <c r="E16" s="3"/>
      <c r="F16" s="3"/>
      <c r="G16" s="3"/>
      <c r="H16" s="3"/>
      <c r="I16" s="3"/>
      <c r="J16" s="6">
        <f t="shared" si="1"/>
        <v>0</v>
      </c>
      <c r="K16" s="3" t="str">
        <f t="shared" si="0"/>
        <v>تنبيه: أعد التعبئة</v>
      </c>
      <c r="L16" s="3"/>
      <c r="M16" s="3"/>
      <c r="N16" s="3"/>
    </row>
    <row r="17" spans="1:14" x14ac:dyDescent="0.35">
      <c r="A17" s="3"/>
      <c r="B17" s="3"/>
      <c r="C17" s="3"/>
      <c r="D17" s="3"/>
      <c r="E17" s="3"/>
      <c r="F17" s="3"/>
      <c r="G17" s="3"/>
      <c r="H17" s="3"/>
      <c r="I17" s="3"/>
      <c r="J17" s="6">
        <f t="shared" si="1"/>
        <v>0</v>
      </c>
      <c r="K17" s="3" t="str">
        <f t="shared" si="0"/>
        <v>تنبيه: أعد التعبئة</v>
      </c>
      <c r="L17" s="3"/>
      <c r="M17" s="3"/>
      <c r="N17" s="3"/>
    </row>
    <row r="18" spans="1:14" x14ac:dyDescent="0.35">
      <c r="A18" s="3"/>
      <c r="B18" s="3"/>
      <c r="C18" s="3"/>
      <c r="D18" s="3"/>
      <c r="E18" s="3"/>
      <c r="F18" s="3"/>
      <c r="G18" s="3"/>
      <c r="H18" s="3"/>
      <c r="I18" s="3"/>
      <c r="J18" s="6">
        <f t="shared" si="1"/>
        <v>0</v>
      </c>
      <c r="K18" s="3" t="str">
        <f t="shared" si="0"/>
        <v>تنبيه: أعد التعبئة</v>
      </c>
      <c r="L18" s="3"/>
      <c r="M18" s="3"/>
      <c r="N18" s="3"/>
    </row>
    <row r="19" spans="1:14" x14ac:dyDescent="0.35">
      <c r="A19" s="3"/>
      <c r="B19" s="3"/>
      <c r="C19" s="3"/>
      <c r="D19" s="3"/>
      <c r="E19" s="3"/>
      <c r="F19" s="3"/>
      <c r="G19" s="3"/>
      <c r="H19" s="3"/>
      <c r="I19" s="3"/>
      <c r="J19" s="6">
        <f t="shared" si="1"/>
        <v>0</v>
      </c>
      <c r="K19" s="3" t="str">
        <f t="shared" si="0"/>
        <v>تنبيه: أعد التعبئة</v>
      </c>
      <c r="L19" s="3"/>
      <c r="M19" s="3"/>
      <c r="N19" s="3"/>
    </row>
    <row r="20" spans="1:14" x14ac:dyDescent="0.35">
      <c r="A20" s="3"/>
      <c r="B20" s="3"/>
      <c r="C20" s="3"/>
      <c r="D20" s="3"/>
      <c r="E20" s="3"/>
      <c r="F20" s="3"/>
      <c r="G20" s="3"/>
      <c r="H20" s="3"/>
      <c r="I20" s="3"/>
      <c r="J20" s="6">
        <f t="shared" si="1"/>
        <v>0</v>
      </c>
      <c r="K20" s="3" t="str">
        <f t="shared" si="0"/>
        <v>تنبيه: أعد التعبئة</v>
      </c>
      <c r="L20" s="3"/>
      <c r="M20" s="3"/>
      <c r="N20" s="3"/>
    </row>
    <row r="21" spans="1:14" x14ac:dyDescent="0.35">
      <c r="A21" s="3"/>
      <c r="B21" s="3"/>
      <c r="C21" s="3"/>
      <c r="D21" s="3"/>
      <c r="E21" s="3"/>
      <c r="F21" s="3"/>
      <c r="G21" s="3"/>
      <c r="H21" s="3"/>
      <c r="I21" s="3"/>
      <c r="J21" s="6">
        <f t="shared" si="1"/>
        <v>0</v>
      </c>
      <c r="K21" s="3" t="str">
        <f t="shared" si="0"/>
        <v>تنبيه: أعد التعبئة</v>
      </c>
      <c r="L21" s="3"/>
      <c r="M21" s="3"/>
      <c r="N21" s="3"/>
    </row>
    <row r="22" spans="1:14" x14ac:dyDescent="0.35">
      <c r="A22" s="3"/>
      <c r="B22" s="3"/>
      <c r="C22" s="3"/>
      <c r="D22" s="3"/>
      <c r="E22" s="3"/>
      <c r="F22" s="3"/>
      <c r="G22" s="3"/>
      <c r="H22" s="3"/>
      <c r="I22" s="3"/>
      <c r="J22" s="6">
        <f t="shared" si="1"/>
        <v>0</v>
      </c>
      <c r="K22" s="3" t="str">
        <f t="shared" si="0"/>
        <v>تنبيه: أعد التعبئة</v>
      </c>
      <c r="L22" s="3"/>
      <c r="M22" s="3"/>
      <c r="N22" s="3"/>
    </row>
    <row r="23" spans="1:14" x14ac:dyDescent="0.35">
      <c r="A23" s="3"/>
      <c r="B23" s="3"/>
      <c r="C23" s="3"/>
      <c r="D23" s="3"/>
      <c r="E23" s="3"/>
      <c r="F23" s="3"/>
      <c r="G23" s="3"/>
      <c r="H23" s="3"/>
      <c r="I23" s="3"/>
      <c r="J23" s="6">
        <f t="shared" si="1"/>
        <v>0</v>
      </c>
      <c r="K23" s="3" t="str">
        <f t="shared" si="0"/>
        <v>تنبيه: أعد التعبئة</v>
      </c>
      <c r="L23" s="3"/>
      <c r="M23" s="3"/>
      <c r="N23" s="3"/>
    </row>
    <row r="24" spans="1:14" x14ac:dyDescent="0.35">
      <c r="A24" s="3"/>
      <c r="B24" s="3"/>
      <c r="C24" s="3"/>
      <c r="D24" s="3"/>
      <c r="E24" s="3"/>
      <c r="F24" s="3"/>
      <c r="G24" s="3"/>
      <c r="H24" s="3"/>
      <c r="I24" s="3"/>
      <c r="J24" s="6">
        <f t="shared" si="1"/>
        <v>0</v>
      </c>
      <c r="K24" s="3" t="str">
        <f t="shared" si="0"/>
        <v>تنبيه: أعد التعبئة</v>
      </c>
      <c r="L24" s="3"/>
      <c r="M24" s="3"/>
      <c r="N24" s="3"/>
    </row>
    <row r="25" spans="1:14" x14ac:dyDescent="0.35">
      <c r="A25" s="3"/>
      <c r="B25" s="3"/>
      <c r="C25" s="3"/>
      <c r="D25" s="3"/>
      <c r="E25" s="3"/>
      <c r="F25" s="3"/>
      <c r="G25" s="3"/>
      <c r="H25" s="3"/>
      <c r="I25" s="3"/>
      <c r="J25" s="6">
        <f t="shared" si="1"/>
        <v>0</v>
      </c>
      <c r="K25" s="3" t="str">
        <f t="shared" si="0"/>
        <v>تنبيه: أعد التعبئة</v>
      </c>
      <c r="L25" s="3"/>
      <c r="M25" s="3"/>
      <c r="N25" s="3"/>
    </row>
    <row r="26" spans="1:14" x14ac:dyDescent="0.35">
      <c r="A26" s="3"/>
      <c r="B26" s="3"/>
      <c r="C26" s="3"/>
      <c r="D26" s="3"/>
      <c r="E26" s="3"/>
      <c r="F26" s="3"/>
      <c r="G26" s="3"/>
      <c r="H26" s="3"/>
      <c r="I26" s="3"/>
      <c r="J26" s="6">
        <f t="shared" si="1"/>
        <v>0</v>
      </c>
      <c r="K26" s="3" t="str">
        <f t="shared" si="0"/>
        <v>تنبيه: أعد التعبئة</v>
      </c>
      <c r="L26" s="3"/>
      <c r="M26" s="3"/>
      <c r="N26" s="3"/>
    </row>
    <row r="27" spans="1:14" x14ac:dyDescent="0.35">
      <c r="A27" s="3"/>
      <c r="B27" s="3"/>
      <c r="C27" s="3"/>
      <c r="D27" s="3"/>
      <c r="E27" s="3"/>
      <c r="F27" s="3"/>
      <c r="G27" s="3"/>
      <c r="H27" s="3"/>
      <c r="I27" s="3"/>
      <c r="J27" s="6">
        <f t="shared" si="1"/>
        <v>0</v>
      </c>
      <c r="K27" s="3" t="str">
        <f t="shared" si="0"/>
        <v>تنبيه: أعد التعبئة</v>
      </c>
      <c r="L27" s="3"/>
      <c r="M27" s="3"/>
      <c r="N27" s="3"/>
    </row>
    <row r="28" spans="1:14" x14ac:dyDescent="0.35">
      <c r="A28" s="3"/>
      <c r="B28" s="3"/>
      <c r="C28" s="3"/>
      <c r="D28" s="3"/>
      <c r="E28" s="3"/>
      <c r="F28" s="3"/>
      <c r="G28" s="3"/>
      <c r="H28" s="3"/>
      <c r="I28" s="3"/>
      <c r="J28" s="6">
        <f t="shared" si="1"/>
        <v>0</v>
      </c>
      <c r="K28" s="3" t="str">
        <f t="shared" si="0"/>
        <v>تنبيه: أعد التعبئة</v>
      </c>
      <c r="L28" s="3"/>
      <c r="M28" s="3"/>
      <c r="N28" s="3"/>
    </row>
    <row r="29" spans="1:14" x14ac:dyDescent="0.35">
      <c r="A29" s="3"/>
      <c r="B29" s="3"/>
      <c r="C29" s="3"/>
      <c r="D29" s="3"/>
      <c r="E29" s="3"/>
      <c r="F29" s="3"/>
      <c r="G29" s="3"/>
      <c r="H29" s="3"/>
      <c r="I29" s="3"/>
      <c r="J29" s="6">
        <f t="shared" si="1"/>
        <v>0</v>
      </c>
      <c r="K29" s="3" t="str">
        <f t="shared" si="0"/>
        <v>تنبيه: أعد التعبئة</v>
      </c>
      <c r="L29" s="3"/>
      <c r="M29" s="3"/>
      <c r="N29" s="3"/>
    </row>
    <row r="30" spans="1:14" x14ac:dyDescent="0.35">
      <c r="A30" s="3"/>
      <c r="B30" s="3"/>
      <c r="C30" s="3"/>
      <c r="D30" s="3"/>
      <c r="E30" s="3"/>
      <c r="F30" s="3"/>
      <c r="G30" s="3"/>
      <c r="H30" s="3"/>
      <c r="I30" s="3"/>
      <c r="J30" s="6">
        <f t="shared" si="1"/>
        <v>0</v>
      </c>
      <c r="K30" s="3" t="str">
        <f t="shared" si="0"/>
        <v>تنبيه: أعد التعبئة</v>
      </c>
      <c r="L30" s="3"/>
      <c r="M30" s="3"/>
      <c r="N30" s="3"/>
    </row>
    <row r="31" spans="1:14" x14ac:dyDescent="0.35">
      <c r="A31" s="3"/>
      <c r="B31" s="3"/>
      <c r="C31" s="3"/>
      <c r="D31" s="3"/>
      <c r="E31" s="3"/>
      <c r="F31" s="3"/>
      <c r="G31" s="3"/>
      <c r="H31" s="3"/>
      <c r="I31" s="3"/>
      <c r="J31" s="6">
        <f t="shared" si="1"/>
        <v>0</v>
      </c>
      <c r="K31" s="3" t="str">
        <f t="shared" si="0"/>
        <v>تنبيه: أعد التعبئة</v>
      </c>
      <c r="L31" s="3"/>
      <c r="M31" s="3"/>
      <c r="N31" s="3"/>
    </row>
    <row r="32" spans="1:14" x14ac:dyDescent="0.35">
      <c r="A32" s="3"/>
      <c r="B32" s="3"/>
      <c r="C32" s="3"/>
      <c r="D32" s="3"/>
      <c r="E32" s="3"/>
      <c r="F32" s="3"/>
      <c r="G32" s="3"/>
      <c r="H32" s="3"/>
      <c r="I32" s="3"/>
      <c r="J32" s="6">
        <f t="shared" si="1"/>
        <v>0</v>
      </c>
      <c r="K32" s="3" t="str">
        <f t="shared" si="0"/>
        <v>تنبيه: أعد التعبئة</v>
      </c>
      <c r="L32" s="3"/>
      <c r="M32" s="3"/>
      <c r="N32" s="3"/>
    </row>
    <row r="33" spans="1:14" x14ac:dyDescent="0.35">
      <c r="A33" s="3"/>
      <c r="B33" s="3"/>
      <c r="C33" s="3"/>
      <c r="D33" s="3"/>
      <c r="E33" s="3"/>
      <c r="F33" s="3"/>
      <c r="G33" s="3"/>
      <c r="H33" s="3"/>
      <c r="I33" s="3"/>
      <c r="J33" s="6">
        <f t="shared" si="1"/>
        <v>0</v>
      </c>
      <c r="K33" s="3" t="str">
        <f t="shared" si="0"/>
        <v>تنبيه: أعد التعبئة</v>
      </c>
      <c r="L33" s="3"/>
      <c r="M33" s="3"/>
      <c r="N33" s="3"/>
    </row>
    <row r="34" spans="1:14" x14ac:dyDescent="0.35">
      <c r="A34" s="3"/>
      <c r="B34" s="3"/>
      <c r="C34" s="3"/>
      <c r="D34" s="3"/>
      <c r="E34" s="3"/>
      <c r="F34" s="3"/>
      <c r="G34" s="3"/>
      <c r="H34" s="3"/>
      <c r="I34" s="3"/>
      <c r="J34" s="6">
        <f t="shared" si="1"/>
        <v>0</v>
      </c>
      <c r="K34" s="3" t="str">
        <f t="shared" si="0"/>
        <v>تنبيه: أعد التعبئة</v>
      </c>
      <c r="L34" s="3"/>
      <c r="M34" s="3"/>
      <c r="N34" s="3"/>
    </row>
    <row r="35" spans="1:14" x14ac:dyDescent="0.35">
      <c r="A35" s="4" t="s">
        <v>18</v>
      </c>
      <c r="B35" s="3"/>
      <c r="C35" s="3"/>
      <c r="D35" s="3"/>
      <c r="E35" s="3"/>
      <c r="F35" s="3"/>
      <c r="G35" s="5">
        <f>SUM(G4:G34)</f>
        <v>0</v>
      </c>
      <c r="H35" s="5">
        <f>SUM(H4:H34)</f>
        <v>0</v>
      </c>
      <c r="I35" s="3"/>
      <c r="J35" s="3"/>
      <c r="K35" s="3"/>
      <c r="L35" s="3"/>
      <c r="M35" s="3"/>
      <c r="N35" s="3"/>
    </row>
  </sheetData>
  <mergeCells count="1">
    <mergeCell ref="A1:N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0</xdr:row>
                    <xdr:rowOff>50800</xdr:rowOff>
                  </from>
                  <to>
                    <xdr:col>6</xdr:col>
                    <xdr:colOff>762000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49</xdr:row>
                    <xdr:rowOff>6350</xdr:rowOff>
                  </from>
                  <to>
                    <xdr:col>6</xdr:col>
                    <xdr:colOff>762000</xdr:colOff>
                    <xdr:row>50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21447-FBF1-447B-A4CC-ECBEA65A7432}">
  <sheetPr codeName="Sheet3"/>
  <dimension ref="A1:N35"/>
  <sheetViews>
    <sheetView rightToLeft="1" workbookViewId="0"/>
  </sheetViews>
  <sheetFormatPr defaultRowHeight="14.5" x14ac:dyDescent="0.35"/>
  <cols>
    <col min="1" max="1" width="8.6328125" customWidth="1"/>
    <col min="2" max="3" width="12.6328125" customWidth="1"/>
    <col min="4" max="4" width="10.6328125" customWidth="1"/>
    <col min="5" max="5" width="35.6328125" customWidth="1"/>
    <col min="6" max="6" width="20.6328125" customWidth="1"/>
    <col min="7" max="8" width="14.6328125" customWidth="1"/>
    <col min="9" max="9" width="12.6328125" customWidth="1"/>
    <col min="10" max="10" width="14.6328125" customWidth="1"/>
    <col min="11" max="11" width="18.6328125" customWidth="1"/>
    <col min="12" max="12" width="22.6328125" customWidth="1"/>
    <col min="13" max="14" width="14.6328125" customWidth="1"/>
  </cols>
  <sheetData>
    <row r="1" spans="1:14" ht="18.5" x14ac:dyDescent="0.45">
      <c r="A1" s="24" t="s">
        <v>20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</row>
    <row r="2" spans="1:14" x14ac:dyDescent="0.35">
      <c r="A2" s="1" t="s">
        <v>1</v>
      </c>
      <c r="B2" s="1"/>
      <c r="C2" s="1" t="s">
        <v>2</v>
      </c>
      <c r="D2" s="1">
        <v>5000</v>
      </c>
    </row>
    <row r="3" spans="1:14" x14ac:dyDescent="0.35">
      <c r="A3" s="2" t="s">
        <v>3</v>
      </c>
      <c r="B3" s="2" t="s">
        <v>4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L3" s="2" t="s">
        <v>14</v>
      </c>
      <c r="M3" s="2" t="s">
        <v>15</v>
      </c>
      <c r="N3" s="2" t="s">
        <v>16</v>
      </c>
    </row>
    <row r="4" spans="1:14" x14ac:dyDescent="0.35">
      <c r="A4" s="3" t="s">
        <v>17</v>
      </c>
      <c r="B4" s="3"/>
      <c r="C4" s="3"/>
      <c r="D4" s="3"/>
      <c r="E4" s="3"/>
      <c r="F4" s="3"/>
      <c r="G4" s="6">
        <f>'02-فبراير'!G35</f>
        <v>0</v>
      </c>
      <c r="H4" s="6">
        <f>'02-فبراير'!H35</f>
        <v>0</v>
      </c>
      <c r="I4" s="3"/>
      <c r="J4" s="6">
        <f>C4-G4+H4</f>
        <v>0</v>
      </c>
      <c r="K4" s="3" t="str">
        <f t="shared" ref="K4:K34" si="0">IF(J4&lt;200,"تنبيه: أعد التعبئة","مقبول")</f>
        <v>تنبيه: أعد التعبئة</v>
      </c>
      <c r="L4" s="3"/>
      <c r="M4" s="3"/>
      <c r="N4" s="3"/>
    </row>
    <row r="5" spans="1:14" x14ac:dyDescent="0.35">
      <c r="A5" s="3"/>
      <c r="B5" s="3"/>
      <c r="C5" s="3"/>
      <c r="D5" s="3"/>
      <c r="E5" s="3"/>
      <c r="F5" s="3"/>
      <c r="G5" s="3"/>
      <c r="H5" s="3"/>
      <c r="I5" s="3"/>
      <c r="J5" s="6">
        <f t="shared" ref="J5:J34" si="1">J4-G5+H5</f>
        <v>0</v>
      </c>
      <c r="K5" s="3" t="str">
        <f t="shared" si="0"/>
        <v>تنبيه: أعد التعبئة</v>
      </c>
      <c r="L5" s="3"/>
      <c r="M5" s="3"/>
      <c r="N5" s="3"/>
    </row>
    <row r="6" spans="1:14" x14ac:dyDescent="0.35">
      <c r="A6" s="3"/>
      <c r="B6" s="3"/>
      <c r="C6" s="3"/>
      <c r="D6" s="3"/>
      <c r="E6" s="3"/>
      <c r="F6" s="3"/>
      <c r="G6" s="3"/>
      <c r="H6" s="3"/>
      <c r="I6" s="3"/>
      <c r="J6" s="6">
        <f t="shared" si="1"/>
        <v>0</v>
      </c>
      <c r="K6" s="3" t="str">
        <f t="shared" si="0"/>
        <v>تنبيه: أعد التعبئة</v>
      </c>
      <c r="L6" s="3"/>
      <c r="M6" s="3"/>
      <c r="N6" s="3"/>
    </row>
    <row r="7" spans="1:14" x14ac:dyDescent="0.35">
      <c r="A7" s="3"/>
      <c r="B7" s="3"/>
      <c r="C7" s="3"/>
      <c r="D7" s="3"/>
      <c r="E7" s="3"/>
      <c r="F7" s="3"/>
      <c r="G7" s="3"/>
      <c r="H7" s="3"/>
      <c r="I7" s="3"/>
      <c r="J7" s="6">
        <f t="shared" si="1"/>
        <v>0</v>
      </c>
      <c r="K7" s="3" t="str">
        <f t="shared" si="0"/>
        <v>تنبيه: أعد التعبئة</v>
      </c>
      <c r="L7" s="3"/>
      <c r="M7" s="3"/>
      <c r="N7" s="3"/>
    </row>
    <row r="8" spans="1:14" x14ac:dyDescent="0.35">
      <c r="A8" s="3"/>
      <c r="B8" s="3"/>
      <c r="C8" s="3"/>
      <c r="D8" s="3"/>
      <c r="E8" s="3"/>
      <c r="F8" s="3"/>
      <c r="G8" s="3"/>
      <c r="H8" s="3"/>
      <c r="I8" s="3"/>
      <c r="J8" s="6">
        <f t="shared" si="1"/>
        <v>0</v>
      </c>
      <c r="K8" s="3" t="str">
        <f t="shared" si="0"/>
        <v>تنبيه: أعد التعبئة</v>
      </c>
      <c r="L8" s="3"/>
      <c r="M8" s="3"/>
      <c r="N8" s="3"/>
    </row>
    <row r="9" spans="1:14" x14ac:dyDescent="0.35">
      <c r="A9" s="3"/>
      <c r="B9" s="3"/>
      <c r="C9" s="3"/>
      <c r="D9" s="3"/>
      <c r="E9" s="3"/>
      <c r="F9" s="3"/>
      <c r="G9" s="3"/>
      <c r="H9" s="3"/>
      <c r="I9" s="3"/>
      <c r="J9" s="6">
        <f t="shared" si="1"/>
        <v>0</v>
      </c>
      <c r="K9" s="3" t="str">
        <f t="shared" si="0"/>
        <v>تنبيه: أعد التعبئة</v>
      </c>
      <c r="L9" s="3"/>
      <c r="M9" s="3"/>
      <c r="N9" s="3"/>
    </row>
    <row r="10" spans="1:14" x14ac:dyDescent="0.35">
      <c r="A10" s="3"/>
      <c r="B10" s="3"/>
      <c r="C10" s="3"/>
      <c r="D10" s="3"/>
      <c r="E10" s="3"/>
      <c r="F10" s="3"/>
      <c r="G10" s="3"/>
      <c r="H10" s="3"/>
      <c r="I10" s="3"/>
      <c r="J10" s="6">
        <f t="shared" si="1"/>
        <v>0</v>
      </c>
      <c r="K10" s="3" t="str">
        <f t="shared" si="0"/>
        <v>تنبيه: أعد التعبئة</v>
      </c>
      <c r="L10" s="3"/>
      <c r="M10" s="3"/>
      <c r="N10" s="3"/>
    </row>
    <row r="11" spans="1:14" x14ac:dyDescent="0.35">
      <c r="A11" s="3"/>
      <c r="B11" s="3"/>
      <c r="C11" s="3"/>
      <c r="D11" s="3"/>
      <c r="E11" s="3"/>
      <c r="F11" s="3"/>
      <c r="G11" s="3"/>
      <c r="H11" s="3"/>
      <c r="I11" s="3"/>
      <c r="J11" s="6">
        <f t="shared" si="1"/>
        <v>0</v>
      </c>
      <c r="K11" s="3" t="str">
        <f t="shared" si="0"/>
        <v>تنبيه: أعد التعبئة</v>
      </c>
      <c r="L11" s="3"/>
      <c r="M11" s="3"/>
      <c r="N11" s="3"/>
    </row>
    <row r="12" spans="1:14" x14ac:dyDescent="0.35">
      <c r="A12" s="3"/>
      <c r="B12" s="3"/>
      <c r="C12" s="3"/>
      <c r="D12" s="3"/>
      <c r="E12" s="3"/>
      <c r="F12" s="3"/>
      <c r="G12" s="3"/>
      <c r="H12" s="3"/>
      <c r="I12" s="3"/>
      <c r="J12" s="6">
        <f t="shared" si="1"/>
        <v>0</v>
      </c>
      <c r="K12" s="3" t="str">
        <f t="shared" si="0"/>
        <v>تنبيه: أعد التعبئة</v>
      </c>
      <c r="L12" s="3"/>
      <c r="M12" s="3"/>
      <c r="N12" s="3"/>
    </row>
    <row r="13" spans="1:14" x14ac:dyDescent="0.35">
      <c r="A13" s="3"/>
      <c r="B13" s="3"/>
      <c r="C13" s="3"/>
      <c r="D13" s="3"/>
      <c r="E13" s="3"/>
      <c r="F13" s="3"/>
      <c r="G13" s="3"/>
      <c r="H13" s="3"/>
      <c r="I13" s="3"/>
      <c r="J13" s="6">
        <f t="shared" si="1"/>
        <v>0</v>
      </c>
      <c r="K13" s="3" t="str">
        <f t="shared" si="0"/>
        <v>تنبيه: أعد التعبئة</v>
      </c>
      <c r="L13" s="3"/>
      <c r="M13" s="3"/>
      <c r="N13" s="3"/>
    </row>
    <row r="14" spans="1:14" x14ac:dyDescent="0.35">
      <c r="A14" s="3"/>
      <c r="B14" s="3"/>
      <c r="C14" s="3"/>
      <c r="D14" s="3"/>
      <c r="E14" s="3"/>
      <c r="F14" s="3"/>
      <c r="G14" s="3"/>
      <c r="H14" s="3"/>
      <c r="I14" s="3"/>
      <c r="J14" s="6">
        <f t="shared" si="1"/>
        <v>0</v>
      </c>
      <c r="K14" s="3" t="str">
        <f t="shared" si="0"/>
        <v>تنبيه: أعد التعبئة</v>
      </c>
      <c r="L14" s="3"/>
      <c r="M14" s="3"/>
      <c r="N14" s="3"/>
    </row>
    <row r="15" spans="1:14" x14ac:dyDescent="0.35">
      <c r="A15" s="3"/>
      <c r="B15" s="3"/>
      <c r="C15" s="3"/>
      <c r="D15" s="3"/>
      <c r="E15" s="3"/>
      <c r="F15" s="3"/>
      <c r="G15" s="3"/>
      <c r="H15" s="3"/>
      <c r="I15" s="3"/>
      <c r="J15" s="6">
        <f t="shared" si="1"/>
        <v>0</v>
      </c>
      <c r="K15" s="3" t="str">
        <f t="shared" si="0"/>
        <v>تنبيه: أعد التعبئة</v>
      </c>
      <c r="L15" s="3"/>
      <c r="M15" s="3"/>
      <c r="N15" s="3"/>
    </row>
    <row r="16" spans="1:14" x14ac:dyDescent="0.35">
      <c r="A16" s="3"/>
      <c r="B16" s="3"/>
      <c r="C16" s="3"/>
      <c r="D16" s="3"/>
      <c r="E16" s="3"/>
      <c r="F16" s="3"/>
      <c r="G16" s="3"/>
      <c r="H16" s="3"/>
      <c r="I16" s="3"/>
      <c r="J16" s="6">
        <f t="shared" si="1"/>
        <v>0</v>
      </c>
      <c r="K16" s="3" t="str">
        <f t="shared" si="0"/>
        <v>تنبيه: أعد التعبئة</v>
      </c>
      <c r="L16" s="3"/>
      <c r="M16" s="3"/>
      <c r="N16" s="3"/>
    </row>
    <row r="17" spans="1:14" x14ac:dyDescent="0.35">
      <c r="A17" s="3"/>
      <c r="B17" s="3"/>
      <c r="C17" s="3"/>
      <c r="D17" s="3"/>
      <c r="E17" s="3"/>
      <c r="F17" s="3"/>
      <c r="G17" s="3"/>
      <c r="H17" s="3"/>
      <c r="I17" s="3"/>
      <c r="J17" s="6">
        <f t="shared" si="1"/>
        <v>0</v>
      </c>
      <c r="K17" s="3" t="str">
        <f t="shared" si="0"/>
        <v>تنبيه: أعد التعبئة</v>
      </c>
      <c r="L17" s="3"/>
      <c r="M17" s="3"/>
      <c r="N17" s="3"/>
    </row>
    <row r="18" spans="1:14" x14ac:dyDescent="0.35">
      <c r="A18" s="3"/>
      <c r="B18" s="3"/>
      <c r="C18" s="3"/>
      <c r="D18" s="3"/>
      <c r="E18" s="3"/>
      <c r="F18" s="3"/>
      <c r="G18" s="3"/>
      <c r="H18" s="3"/>
      <c r="I18" s="3"/>
      <c r="J18" s="6">
        <f t="shared" si="1"/>
        <v>0</v>
      </c>
      <c r="K18" s="3" t="str">
        <f t="shared" si="0"/>
        <v>تنبيه: أعد التعبئة</v>
      </c>
      <c r="L18" s="3"/>
      <c r="M18" s="3"/>
      <c r="N18" s="3"/>
    </row>
    <row r="19" spans="1:14" x14ac:dyDescent="0.35">
      <c r="A19" s="3"/>
      <c r="B19" s="3"/>
      <c r="C19" s="3"/>
      <c r="D19" s="3"/>
      <c r="E19" s="3"/>
      <c r="F19" s="3"/>
      <c r="G19" s="3"/>
      <c r="H19" s="3"/>
      <c r="I19" s="3"/>
      <c r="J19" s="6">
        <f t="shared" si="1"/>
        <v>0</v>
      </c>
      <c r="K19" s="3" t="str">
        <f t="shared" si="0"/>
        <v>تنبيه: أعد التعبئة</v>
      </c>
      <c r="L19" s="3"/>
      <c r="M19" s="3"/>
      <c r="N19" s="3"/>
    </row>
    <row r="20" spans="1:14" x14ac:dyDescent="0.35">
      <c r="A20" s="3"/>
      <c r="B20" s="3"/>
      <c r="C20" s="3"/>
      <c r="D20" s="3"/>
      <c r="E20" s="3"/>
      <c r="F20" s="3"/>
      <c r="G20" s="3"/>
      <c r="H20" s="3"/>
      <c r="I20" s="3"/>
      <c r="J20" s="6">
        <f t="shared" si="1"/>
        <v>0</v>
      </c>
      <c r="K20" s="3" t="str">
        <f t="shared" si="0"/>
        <v>تنبيه: أعد التعبئة</v>
      </c>
      <c r="L20" s="3"/>
      <c r="M20" s="3"/>
      <c r="N20" s="3"/>
    </row>
    <row r="21" spans="1:14" x14ac:dyDescent="0.35">
      <c r="A21" s="3"/>
      <c r="B21" s="3"/>
      <c r="C21" s="3"/>
      <c r="D21" s="3"/>
      <c r="E21" s="3"/>
      <c r="F21" s="3"/>
      <c r="G21" s="3"/>
      <c r="H21" s="3"/>
      <c r="I21" s="3"/>
      <c r="J21" s="6">
        <f t="shared" si="1"/>
        <v>0</v>
      </c>
      <c r="K21" s="3" t="str">
        <f t="shared" si="0"/>
        <v>تنبيه: أعد التعبئة</v>
      </c>
      <c r="L21" s="3"/>
      <c r="M21" s="3"/>
      <c r="N21" s="3"/>
    </row>
    <row r="22" spans="1:14" x14ac:dyDescent="0.35">
      <c r="A22" s="3"/>
      <c r="B22" s="3"/>
      <c r="C22" s="3"/>
      <c r="D22" s="3"/>
      <c r="E22" s="3"/>
      <c r="F22" s="3"/>
      <c r="G22" s="3"/>
      <c r="H22" s="3"/>
      <c r="I22" s="3"/>
      <c r="J22" s="6">
        <f t="shared" si="1"/>
        <v>0</v>
      </c>
      <c r="K22" s="3" t="str">
        <f t="shared" si="0"/>
        <v>تنبيه: أعد التعبئة</v>
      </c>
      <c r="L22" s="3"/>
      <c r="M22" s="3"/>
      <c r="N22" s="3"/>
    </row>
    <row r="23" spans="1:14" x14ac:dyDescent="0.35">
      <c r="A23" s="3"/>
      <c r="B23" s="3"/>
      <c r="C23" s="3"/>
      <c r="D23" s="3"/>
      <c r="E23" s="3"/>
      <c r="F23" s="3"/>
      <c r="G23" s="3"/>
      <c r="H23" s="3"/>
      <c r="I23" s="3"/>
      <c r="J23" s="6">
        <f t="shared" si="1"/>
        <v>0</v>
      </c>
      <c r="K23" s="3" t="str">
        <f t="shared" si="0"/>
        <v>تنبيه: أعد التعبئة</v>
      </c>
      <c r="L23" s="3"/>
      <c r="M23" s="3"/>
      <c r="N23" s="3"/>
    </row>
    <row r="24" spans="1:14" x14ac:dyDescent="0.35">
      <c r="A24" s="3"/>
      <c r="B24" s="3"/>
      <c r="C24" s="3"/>
      <c r="D24" s="3"/>
      <c r="E24" s="3"/>
      <c r="F24" s="3"/>
      <c r="G24" s="3"/>
      <c r="H24" s="3"/>
      <c r="I24" s="3"/>
      <c r="J24" s="6">
        <f t="shared" si="1"/>
        <v>0</v>
      </c>
      <c r="K24" s="3" t="str">
        <f t="shared" si="0"/>
        <v>تنبيه: أعد التعبئة</v>
      </c>
      <c r="L24" s="3"/>
      <c r="M24" s="3"/>
      <c r="N24" s="3"/>
    </row>
    <row r="25" spans="1:14" x14ac:dyDescent="0.35">
      <c r="A25" s="3"/>
      <c r="B25" s="3"/>
      <c r="C25" s="3"/>
      <c r="D25" s="3"/>
      <c r="E25" s="3"/>
      <c r="F25" s="3"/>
      <c r="G25" s="3"/>
      <c r="H25" s="3"/>
      <c r="I25" s="3"/>
      <c r="J25" s="6">
        <f t="shared" si="1"/>
        <v>0</v>
      </c>
      <c r="K25" s="3" t="str">
        <f t="shared" si="0"/>
        <v>تنبيه: أعد التعبئة</v>
      </c>
      <c r="L25" s="3"/>
      <c r="M25" s="3"/>
      <c r="N25" s="3"/>
    </row>
    <row r="26" spans="1:14" x14ac:dyDescent="0.35">
      <c r="A26" s="3"/>
      <c r="B26" s="3"/>
      <c r="C26" s="3"/>
      <c r="D26" s="3"/>
      <c r="E26" s="3"/>
      <c r="F26" s="3"/>
      <c r="G26" s="3"/>
      <c r="H26" s="3"/>
      <c r="I26" s="3"/>
      <c r="J26" s="6">
        <f t="shared" si="1"/>
        <v>0</v>
      </c>
      <c r="K26" s="3" t="str">
        <f t="shared" si="0"/>
        <v>تنبيه: أعد التعبئة</v>
      </c>
      <c r="L26" s="3"/>
      <c r="M26" s="3"/>
      <c r="N26" s="3"/>
    </row>
    <row r="27" spans="1:14" x14ac:dyDescent="0.35">
      <c r="A27" s="3"/>
      <c r="B27" s="3"/>
      <c r="C27" s="3"/>
      <c r="D27" s="3"/>
      <c r="E27" s="3"/>
      <c r="F27" s="3"/>
      <c r="G27" s="3"/>
      <c r="H27" s="3"/>
      <c r="I27" s="3"/>
      <c r="J27" s="6">
        <f t="shared" si="1"/>
        <v>0</v>
      </c>
      <c r="K27" s="3" t="str">
        <f t="shared" si="0"/>
        <v>تنبيه: أعد التعبئة</v>
      </c>
      <c r="L27" s="3"/>
      <c r="M27" s="3"/>
      <c r="N27" s="3"/>
    </row>
    <row r="28" spans="1:14" x14ac:dyDescent="0.35">
      <c r="A28" s="3"/>
      <c r="B28" s="3"/>
      <c r="C28" s="3"/>
      <c r="D28" s="3"/>
      <c r="E28" s="3"/>
      <c r="F28" s="3"/>
      <c r="G28" s="3"/>
      <c r="H28" s="3"/>
      <c r="I28" s="3"/>
      <c r="J28" s="6">
        <f t="shared" si="1"/>
        <v>0</v>
      </c>
      <c r="K28" s="3" t="str">
        <f t="shared" si="0"/>
        <v>تنبيه: أعد التعبئة</v>
      </c>
      <c r="L28" s="3"/>
      <c r="M28" s="3"/>
      <c r="N28" s="3"/>
    </row>
    <row r="29" spans="1:14" x14ac:dyDescent="0.35">
      <c r="A29" s="3"/>
      <c r="B29" s="3"/>
      <c r="C29" s="3"/>
      <c r="D29" s="3"/>
      <c r="E29" s="3"/>
      <c r="F29" s="3"/>
      <c r="G29" s="3"/>
      <c r="H29" s="3"/>
      <c r="I29" s="3"/>
      <c r="J29" s="6">
        <f t="shared" si="1"/>
        <v>0</v>
      </c>
      <c r="K29" s="3" t="str">
        <f t="shared" si="0"/>
        <v>تنبيه: أعد التعبئة</v>
      </c>
      <c r="L29" s="3"/>
      <c r="M29" s="3"/>
      <c r="N29" s="3"/>
    </row>
    <row r="30" spans="1:14" x14ac:dyDescent="0.35">
      <c r="A30" s="3"/>
      <c r="B30" s="3"/>
      <c r="C30" s="3"/>
      <c r="D30" s="3"/>
      <c r="E30" s="3"/>
      <c r="F30" s="3"/>
      <c r="G30" s="3"/>
      <c r="H30" s="3"/>
      <c r="I30" s="3"/>
      <c r="J30" s="6">
        <f t="shared" si="1"/>
        <v>0</v>
      </c>
      <c r="K30" s="3" t="str">
        <f t="shared" si="0"/>
        <v>تنبيه: أعد التعبئة</v>
      </c>
      <c r="L30" s="3"/>
      <c r="M30" s="3"/>
      <c r="N30" s="3"/>
    </row>
    <row r="31" spans="1:14" x14ac:dyDescent="0.35">
      <c r="A31" s="3"/>
      <c r="B31" s="3"/>
      <c r="C31" s="3"/>
      <c r="D31" s="3"/>
      <c r="E31" s="3"/>
      <c r="F31" s="3"/>
      <c r="G31" s="3"/>
      <c r="H31" s="3"/>
      <c r="I31" s="3"/>
      <c r="J31" s="6">
        <f t="shared" si="1"/>
        <v>0</v>
      </c>
      <c r="K31" s="3" t="str">
        <f t="shared" si="0"/>
        <v>تنبيه: أعد التعبئة</v>
      </c>
      <c r="L31" s="3"/>
      <c r="M31" s="3"/>
      <c r="N31" s="3"/>
    </row>
    <row r="32" spans="1:14" x14ac:dyDescent="0.35">
      <c r="A32" s="3"/>
      <c r="B32" s="3"/>
      <c r="C32" s="3"/>
      <c r="D32" s="3"/>
      <c r="E32" s="3"/>
      <c r="F32" s="3"/>
      <c r="G32" s="3"/>
      <c r="H32" s="3"/>
      <c r="I32" s="3"/>
      <c r="J32" s="6">
        <f t="shared" si="1"/>
        <v>0</v>
      </c>
      <c r="K32" s="3" t="str">
        <f t="shared" si="0"/>
        <v>تنبيه: أعد التعبئة</v>
      </c>
      <c r="L32" s="3"/>
      <c r="M32" s="3"/>
      <c r="N32" s="3"/>
    </row>
    <row r="33" spans="1:14" x14ac:dyDescent="0.35">
      <c r="A33" s="3"/>
      <c r="B33" s="3"/>
      <c r="C33" s="3"/>
      <c r="D33" s="3"/>
      <c r="E33" s="3"/>
      <c r="F33" s="3"/>
      <c r="G33" s="3"/>
      <c r="H33" s="3"/>
      <c r="I33" s="3"/>
      <c r="J33" s="6">
        <f t="shared" si="1"/>
        <v>0</v>
      </c>
      <c r="K33" s="3" t="str">
        <f t="shared" si="0"/>
        <v>تنبيه: أعد التعبئة</v>
      </c>
      <c r="L33" s="3"/>
      <c r="M33" s="3"/>
      <c r="N33" s="3"/>
    </row>
    <row r="34" spans="1:14" x14ac:dyDescent="0.35">
      <c r="A34" s="3"/>
      <c r="B34" s="3"/>
      <c r="C34" s="3"/>
      <c r="D34" s="3"/>
      <c r="E34" s="3"/>
      <c r="F34" s="3"/>
      <c r="G34" s="3"/>
      <c r="H34" s="3"/>
      <c r="I34" s="3"/>
      <c r="J34" s="6">
        <f t="shared" si="1"/>
        <v>0</v>
      </c>
      <c r="K34" s="3" t="str">
        <f t="shared" si="0"/>
        <v>تنبيه: أعد التعبئة</v>
      </c>
      <c r="L34" s="3"/>
      <c r="M34" s="3"/>
      <c r="N34" s="3"/>
    </row>
    <row r="35" spans="1:14" x14ac:dyDescent="0.35">
      <c r="A35" s="4" t="s">
        <v>18</v>
      </c>
      <c r="B35" s="3"/>
      <c r="C35" s="3"/>
      <c r="D35" s="3"/>
      <c r="E35" s="3"/>
      <c r="F35" s="3"/>
      <c r="G35" s="5">
        <f>SUM(G4:G34)</f>
        <v>0</v>
      </c>
      <c r="H35" s="5">
        <f>SUM(H4:H34)</f>
        <v>0</v>
      </c>
      <c r="I35" s="3"/>
      <c r="J35" s="3"/>
      <c r="K35" s="3"/>
      <c r="L35" s="3"/>
      <c r="M35" s="3"/>
      <c r="N35" s="3"/>
    </row>
  </sheetData>
  <mergeCells count="1">
    <mergeCell ref="A1:N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0</xdr:row>
                    <xdr:rowOff>50800</xdr:rowOff>
                  </from>
                  <to>
                    <xdr:col>6</xdr:col>
                    <xdr:colOff>762000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49</xdr:row>
                    <xdr:rowOff>6350</xdr:rowOff>
                  </from>
                  <to>
                    <xdr:col>6</xdr:col>
                    <xdr:colOff>762000</xdr:colOff>
                    <xdr:row>50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49E0A-7E36-4E79-9F71-2FA58FA9548F}">
  <sheetPr codeName="Sheet4"/>
  <dimension ref="A1:N35"/>
  <sheetViews>
    <sheetView rightToLeft="1" workbookViewId="0"/>
  </sheetViews>
  <sheetFormatPr defaultRowHeight="14.5" x14ac:dyDescent="0.35"/>
  <cols>
    <col min="1" max="1" width="8.6328125" customWidth="1"/>
    <col min="2" max="3" width="12.6328125" customWidth="1"/>
    <col min="4" max="4" width="10.6328125" customWidth="1"/>
    <col min="5" max="5" width="35.6328125" customWidth="1"/>
    <col min="6" max="6" width="20.6328125" customWidth="1"/>
    <col min="7" max="8" width="14.6328125" customWidth="1"/>
    <col min="9" max="9" width="12.6328125" customWidth="1"/>
    <col min="10" max="10" width="14.6328125" customWidth="1"/>
    <col min="11" max="11" width="18.6328125" customWidth="1"/>
    <col min="12" max="12" width="22.6328125" customWidth="1"/>
    <col min="13" max="14" width="14.6328125" customWidth="1"/>
  </cols>
  <sheetData>
    <row r="1" spans="1:14" ht="18.5" x14ac:dyDescent="0.45">
      <c r="A1" s="24" t="s">
        <v>21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</row>
    <row r="2" spans="1:14" x14ac:dyDescent="0.35">
      <c r="A2" s="1" t="s">
        <v>1</v>
      </c>
      <c r="B2" s="1"/>
      <c r="C2" s="1" t="s">
        <v>2</v>
      </c>
      <c r="D2" s="1">
        <v>5000</v>
      </c>
    </row>
    <row r="3" spans="1:14" x14ac:dyDescent="0.35">
      <c r="A3" s="2" t="s">
        <v>3</v>
      </c>
      <c r="B3" s="2" t="s">
        <v>4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L3" s="2" t="s">
        <v>14</v>
      </c>
      <c r="M3" s="2" t="s">
        <v>15</v>
      </c>
      <c r="N3" s="2" t="s">
        <v>16</v>
      </c>
    </row>
    <row r="4" spans="1:14" x14ac:dyDescent="0.35">
      <c r="A4" s="3" t="s">
        <v>17</v>
      </c>
      <c r="B4" s="3"/>
      <c r="C4" s="3"/>
      <c r="D4" s="3"/>
      <c r="E4" s="3"/>
      <c r="F4" s="3"/>
      <c r="G4" s="6">
        <f>'03-مارس'!G35</f>
        <v>0</v>
      </c>
      <c r="H4" s="6">
        <f>'03-مارس'!H35</f>
        <v>0</v>
      </c>
      <c r="I4" s="3"/>
      <c r="J4" s="6">
        <f>C4-G4+H4</f>
        <v>0</v>
      </c>
      <c r="K4" s="3" t="str">
        <f t="shared" ref="K4:K34" si="0">IF(J4&lt;200,"تنبيه: أعد التعبئة","مقبول")</f>
        <v>تنبيه: أعد التعبئة</v>
      </c>
      <c r="L4" s="3"/>
      <c r="M4" s="3"/>
      <c r="N4" s="3"/>
    </row>
    <row r="5" spans="1:14" x14ac:dyDescent="0.35">
      <c r="A5" s="3"/>
      <c r="B5" s="3"/>
      <c r="C5" s="3"/>
      <c r="D5" s="3"/>
      <c r="E5" s="3"/>
      <c r="F5" s="3"/>
      <c r="G5" s="3"/>
      <c r="H5" s="3"/>
      <c r="I5" s="3"/>
      <c r="J5" s="6">
        <f t="shared" ref="J5:J34" si="1">J4-G5+H5</f>
        <v>0</v>
      </c>
      <c r="K5" s="3" t="str">
        <f t="shared" si="0"/>
        <v>تنبيه: أعد التعبئة</v>
      </c>
      <c r="L5" s="3"/>
      <c r="M5" s="3"/>
      <c r="N5" s="3"/>
    </row>
    <row r="6" spans="1:14" x14ac:dyDescent="0.35">
      <c r="A6" s="3"/>
      <c r="B6" s="3"/>
      <c r="C6" s="3"/>
      <c r="D6" s="3"/>
      <c r="E6" s="3"/>
      <c r="F6" s="3"/>
      <c r="G6" s="3"/>
      <c r="H6" s="3"/>
      <c r="I6" s="3"/>
      <c r="J6" s="6">
        <f t="shared" si="1"/>
        <v>0</v>
      </c>
      <c r="K6" s="3" t="str">
        <f t="shared" si="0"/>
        <v>تنبيه: أعد التعبئة</v>
      </c>
      <c r="L6" s="3"/>
      <c r="M6" s="3"/>
      <c r="N6" s="3"/>
    </row>
    <row r="7" spans="1:14" x14ac:dyDescent="0.35">
      <c r="A7" s="3"/>
      <c r="B7" s="3"/>
      <c r="C7" s="3"/>
      <c r="D7" s="3"/>
      <c r="E7" s="3"/>
      <c r="F7" s="3"/>
      <c r="G7" s="3"/>
      <c r="H7" s="3"/>
      <c r="I7" s="3"/>
      <c r="J7" s="6">
        <f t="shared" si="1"/>
        <v>0</v>
      </c>
      <c r="K7" s="3" t="str">
        <f t="shared" si="0"/>
        <v>تنبيه: أعد التعبئة</v>
      </c>
      <c r="L7" s="3"/>
      <c r="M7" s="3"/>
      <c r="N7" s="3"/>
    </row>
    <row r="8" spans="1:14" x14ac:dyDescent="0.35">
      <c r="A8" s="3"/>
      <c r="B8" s="3"/>
      <c r="C8" s="3"/>
      <c r="D8" s="3"/>
      <c r="E8" s="3"/>
      <c r="F8" s="3"/>
      <c r="G8" s="3"/>
      <c r="H8" s="3"/>
      <c r="I8" s="3"/>
      <c r="J8" s="6">
        <f t="shared" si="1"/>
        <v>0</v>
      </c>
      <c r="K8" s="3" t="str">
        <f t="shared" si="0"/>
        <v>تنبيه: أعد التعبئة</v>
      </c>
      <c r="L8" s="3"/>
      <c r="M8" s="3"/>
      <c r="N8" s="3"/>
    </row>
    <row r="9" spans="1:14" x14ac:dyDescent="0.35">
      <c r="A9" s="3"/>
      <c r="B9" s="3"/>
      <c r="C9" s="3"/>
      <c r="D9" s="3"/>
      <c r="E9" s="3"/>
      <c r="F9" s="3"/>
      <c r="G9" s="3"/>
      <c r="H9" s="3"/>
      <c r="I9" s="3"/>
      <c r="J9" s="6">
        <f t="shared" si="1"/>
        <v>0</v>
      </c>
      <c r="K9" s="3" t="str">
        <f t="shared" si="0"/>
        <v>تنبيه: أعد التعبئة</v>
      </c>
      <c r="L9" s="3"/>
      <c r="M9" s="3"/>
      <c r="N9" s="3"/>
    </row>
    <row r="10" spans="1:14" x14ac:dyDescent="0.35">
      <c r="A10" s="3"/>
      <c r="B10" s="3"/>
      <c r="C10" s="3"/>
      <c r="D10" s="3"/>
      <c r="E10" s="3"/>
      <c r="F10" s="3"/>
      <c r="G10" s="3"/>
      <c r="H10" s="3"/>
      <c r="I10" s="3"/>
      <c r="J10" s="6">
        <f t="shared" si="1"/>
        <v>0</v>
      </c>
      <c r="K10" s="3" t="str">
        <f t="shared" si="0"/>
        <v>تنبيه: أعد التعبئة</v>
      </c>
      <c r="L10" s="3"/>
      <c r="M10" s="3"/>
      <c r="N10" s="3"/>
    </row>
    <row r="11" spans="1:14" x14ac:dyDescent="0.35">
      <c r="A11" s="3"/>
      <c r="B11" s="3"/>
      <c r="C11" s="3"/>
      <c r="D11" s="3"/>
      <c r="E11" s="3"/>
      <c r="F11" s="3"/>
      <c r="G11" s="3"/>
      <c r="H11" s="3"/>
      <c r="I11" s="3"/>
      <c r="J11" s="6">
        <f t="shared" si="1"/>
        <v>0</v>
      </c>
      <c r="K11" s="3" t="str">
        <f t="shared" si="0"/>
        <v>تنبيه: أعد التعبئة</v>
      </c>
      <c r="L11" s="3"/>
      <c r="M11" s="3"/>
      <c r="N11" s="3"/>
    </row>
    <row r="12" spans="1:14" x14ac:dyDescent="0.35">
      <c r="A12" s="3"/>
      <c r="B12" s="3"/>
      <c r="C12" s="3"/>
      <c r="D12" s="3"/>
      <c r="E12" s="3"/>
      <c r="F12" s="3"/>
      <c r="G12" s="3"/>
      <c r="H12" s="3"/>
      <c r="I12" s="3"/>
      <c r="J12" s="6">
        <f t="shared" si="1"/>
        <v>0</v>
      </c>
      <c r="K12" s="3" t="str">
        <f t="shared" si="0"/>
        <v>تنبيه: أعد التعبئة</v>
      </c>
      <c r="L12" s="3"/>
      <c r="M12" s="3"/>
      <c r="N12" s="3"/>
    </row>
    <row r="13" spans="1:14" x14ac:dyDescent="0.35">
      <c r="A13" s="3"/>
      <c r="B13" s="3"/>
      <c r="C13" s="3"/>
      <c r="D13" s="3"/>
      <c r="E13" s="3"/>
      <c r="F13" s="3"/>
      <c r="G13" s="3"/>
      <c r="H13" s="3"/>
      <c r="I13" s="3"/>
      <c r="J13" s="6">
        <f t="shared" si="1"/>
        <v>0</v>
      </c>
      <c r="K13" s="3" t="str">
        <f t="shared" si="0"/>
        <v>تنبيه: أعد التعبئة</v>
      </c>
      <c r="L13" s="3"/>
      <c r="M13" s="3"/>
      <c r="N13" s="3"/>
    </row>
    <row r="14" spans="1:14" x14ac:dyDescent="0.35">
      <c r="A14" s="3"/>
      <c r="B14" s="3"/>
      <c r="C14" s="3"/>
      <c r="D14" s="3"/>
      <c r="E14" s="3"/>
      <c r="F14" s="3"/>
      <c r="G14" s="3"/>
      <c r="H14" s="3"/>
      <c r="I14" s="3"/>
      <c r="J14" s="6">
        <f t="shared" si="1"/>
        <v>0</v>
      </c>
      <c r="K14" s="3" t="str">
        <f t="shared" si="0"/>
        <v>تنبيه: أعد التعبئة</v>
      </c>
      <c r="L14" s="3"/>
      <c r="M14" s="3"/>
      <c r="N14" s="3"/>
    </row>
    <row r="15" spans="1:14" x14ac:dyDescent="0.35">
      <c r="A15" s="3"/>
      <c r="B15" s="3"/>
      <c r="C15" s="3"/>
      <c r="D15" s="3"/>
      <c r="E15" s="3"/>
      <c r="F15" s="3"/>
      <c r="G15" s="3"/>
      <c r="H15" s="3"/>
      <c r="I15" s="3"/>
      <c r="J15" s="6">
        <f t="shared" si="1"/>
        <v>0</v>
      </c>
      <c r="K15" s="3" t="str">
        <f t="shared" si="0"/>
        <v>تنبيه: أعد التعبئة</v>
      </c>
      <c r="L15" s="3"/>
      <c r="M15" s="3"/>
      <c r="N15" s="3"/>
    </row>
    <row r="16" spans="1:14" x14ac:dyDescent="0.35">
      <c r="A16" s="3"/>
      <c r="B16" s="3"/>
      <c r="C16" s="3"/>
      <c r="D16" s="3"/>
      <c r="E16" s="3"/>
      <c r="F16" s="3"/>
      <c r="G16" s="3"/>
      <c r="H16" s="3"/>
      <c r="I16" s="3"/>
      <c r="J16" s="6">
        <f t="shared" si="1"/>
        <v>0</v>
      </c>
      <c r="K16" s="3" t="str">
        <f t="shared" si="0"/>
        <v>تنبيه: أعد التعبئة</v>
      </c>
      <c r="L16" s="3"/>
      <c r="M16" s="3"/>
      <c r="N16" s="3"/>
    </row>
    <row r="17" spans="1:14" x14ac:dyDescent="0.35">
      <c r="A17" s="3"/>
      <c r="B17" s="3"/>
      <c r="C17" s="3"/>
      <c r="D17" s="3"/>
      <c r="E17" s="3"/>
      <c r="F17" s="3"/>
      <c r="G17" s="3"/>
      <c r="H17" s="3"/>
      <c r="I17" s="3"/>
      <c r="J17" s="6">
        <f t="shared" si="1"/>
        <v>0</v>
      </c>
      <c r="K17" s="3" t="str">
        <f t="shared" si="0"/>
        <v>تنبيه: أعد التعبئة</v>
      </c>
      <c r="L17" s="3"/>
      <c r="M17" s="3"/>
      <c r="N17" s="3"/>
    </row>
    <row r="18" spans="1:14" x14ac:dyDescent="0.35">
      <c r="A18" s="3"/>
      <c r="B18" s="3"/>
      <c r="C18" s="3"/>
      <c r="D18" s="3"/>
      <c r="E18" s="3"/>
      <c r="F18" s="3"/>
      <c r="G18" s="3"/>
      <c r="H18" s="3"/>
      <c r="I18" s="3"/>
      <c r="J18" s="6">
        <f t="shared" si="1"/>
        <v>0</v>
      </c>
      <c r="K18" s="3" t="str">
        <f t="shared" si="0"/>
        <v>تنبيه: أعد التعبئة</v>
      </c>
      <c r="L18" s="3"/>
      <c r="M18" s="3"/>
      <c r="N18" s="3"/>
    </row>
    <row r="19" spans="1:14" x14ac:dyDescent="0.35">
      <c r="A19" s="3"/>
      <c r="B19" s="3"/>
      <c r="C19" s="3"/>
      <c r="D19" s="3"/>
      <c r="E19" s="3"/>
      <c r="F19" s="3"/>
      <c r="G19" s="3"/>
      <c r="H19" s="3"/>
      <c r="I19" s="3"/>
      <c r="J19" s="6">
        <f t="shared" si="1"/>
        <v>0</v>
      </c>
      <c r="K19" s="3" t="str">
        <f t="shared" si="0"/>
        <v>تنبيه: أعد التعبئة</v>
      </c>
      <c r="L19" s="3"/>
      <c r="M19" s="3"/>
      <c r="N19" s="3"/>
    </row>
    <row r="20" spans="1:14" x14ac:dyDescent="0.35">
      <c r="A20" s="3"/>
      <c r="B20" s="3"/>
      <c r="C20" s="3"/>
      <c r="D20" s="3"/>
      <c r="E20" s="3"/>
      <c r="F20" s="3"/>
      <c r="G20" s="3"/>
      <c r="H20" s="3"/>
      <c r="I20" s="3"/>
      <c r="J20" s="6">
        <f t="shared" si="1"/>
        <v>0</v>
      </c>
      <c r="K20" s="3" t="str">
        <f t="shared" si="0"/>
        <v>تنبيه: أعد التعبئة</v>
      </c>
      <c r="L20" s="3"/>
      <c r="M20" s="3"/>
      <c r="N20" s="3"/>
    </row>
    <row r="21" spans="1:14" x14ac:dyDescent="0.35">
      <c r="A21" s="3"/>
      <c r="B21" s="3"/>
      <c r="C21" s="3"/>
      <c r="D21" s="3"/>
      <c r="E21" s="3"/>
      <c r="F21" s="3"/>
      <c r="G21" s="3"/>
      <c r="H21" s="3"/>
      <c r="I21" s="3"/>
      <c r="J21" s="6">
        <f t="shared" si="1"/>
        <v>0</v>
      </c>
      <c r="K21" s="3" t="str">
        <f t="shared" si="0"/>
        <v>تنبيه: أعد التعبئة</v>
      </c>
      <c r="L21" s="3"/>
      <c r="M21" s="3"/>
      <c r="N21" s="3"/>
    </row>
    <row r="22" spans="1:14" x14ac:dyDescent="0.35">
      <c r="A22" s="3"/>
      <c r="B22" s="3"/>
      <c r="C22" s="3"/>
      <c r="D22" s="3"/>
      <c r="E22" s="3"/>
      <c r="F22" s="3"/>
      <c r="G22" s="3"/>
      <c r="H22" s="3"/>
      <c r="I22" s="3"/>
      <c r="J22" s="6">
        <f t="shared" si="1"/>
        <v>0</v>
      </c>
      <c r="K22" s="3" t="str">
        <f t="shared" si="0"/>
        <v>تنبيه: أعد التعبئة</v>
      </c>
      <c r="L22" s="3"/>
      <c r="M22" s="3"/>
      <c r="N22" s="3"/>
    </row>
    <row r="23" spans="1:14" x14ac:dyDescent="0.35">
      <c r="A23" s="3"/>
      <c r="B23" s="3"/>
      <c r="C23" s="3"/>
      <c r="D23" s="3"/>
      <c r="E23" s="3"/>
      <c r="F23" s="3"/>
      <c r="G23" s="3"/>
      <c r="H23" s="3"/>
      <c r="I23" s="3"/>
      <c r="J23" s="6">
        <f t="shared" si="1"/>
        <v>0</v>
      </c>
      <c r="K23" s="3" t="str">
        <f t="shared" si="0"/>
        <v>تنبيه: أعد التعبئة</v>
      </c>
      <c r="L23" s="3"/>
      <c r="M23" s="3"/>
      <c r="N23" s="3"/>
    </row>
    <row r="24" spans="1:14" x14ac:dyDescent="0.35">
      <c r="A24" s="3"/>
      <c r="B24" s="3"/>
      <c r="C24" s="3"/>
      <c r="D24" s="3"/>
      <c r="E24" s="3"/>
      <c r="F24" s="3"/>
      <c r="G24" s="3"/>
      <c r="H24" s="3"/>
      <c r="I24" s="3"/>
      <c r="J24" s="6">
        <f t="shared" si="1"/>
        <v>0</v>
      </c>
      <c r="K24" s="3" t="str">
        <f t="shared" si="0"/>
        <v>تنبيه: أعد التعبئة</v>
      </c>
      <c r="L24" s="3"/>
      <c r="M24" s="3"/>
      <c r="N24" s="3"/>
    </row>
    <row r="25" spans="1:14" x14ac:dyDescent="0.35">
      <c r="A25" s="3"/>
      <c r="B25" s="3"/>
      <c r="C25" s="3"/>
      <c r="D25" s="3"/>
      <c r="E25" s="3"/>
      <c r="F25" s="3"/>
      <c r="G25" s="3"/>
      <c r="H25" s="3"/>
      <c r="I25" s="3"/>
      <c r="J25" s="6">
        <f t="shared" si="1"/>
        <v>0</v>
      </c>
      <c r="K25" s="3" t="str">
        <f t="shared" si="0"/>
        <v>تنبيه: أعد التعبئة</v>
      </c>
      <c r="L25" s="3"/>
      <c r="M25" s="3"/>
      <c r="N25" s="3"/>
    </row>
    <row r="26" spans="1:14" x14ac:dyDescent="0.35">
      <c r="A26" s="3"/>
      <c r="B26" s="3"/>
      <c r="C26" s="3"/>
      <c r="D26" s="3"/>
      <c r="E26" s="3"/>
      <c r="F26" s="3"/>
      <c r="G26" s="3"/>
      <c r="H26" s="3"/>
      <c r="I26" s="3"/>
      <c r="J26" s="6">
        <f t="shared" si="1"/>
        <v>0</v>
      </c>
      <c r="K26" s="3" t="str">
        <f t="shared" si="0"/>
        <v>تنبيه: أعد التعبئة</v>
      </c>
      <c r="L26" s="3"/>
      <c r="M26" s="3"/>
      <c r="N26" s="3"/>
    </row>
    <row r="27" spans="1:14" x14ac:dyDescent="0.35">
      <c r="A27" s="3"/>
      <c r="B27" s="3"/>
      <c r="C27" s="3"/>
      <c r="D27" s="3"/>
      <c r="E27" s="3"/>
      <c r="F27" s="3"/>
      <c r="G27" s="3"/>
      <c r="H27" s="3"/>
      <c r="I27" s="3"/>
      <c r="J27" s="6">
        <f t="shared" si="1"/>
        <v>0</v>
      </c>
      <c r="K27" s="3" t="str">
        <f t="shared" si="0"/>
        <v>تنبيه: أعد التعبئة</v>
      </c>
      <c r="L27" s="3"/>
      <c r="M27" s="3"/>
      <c r="N27" s="3"/>
    </row>
    <row r="28" spans="1:14" x14ac:dyDescent="0.35">
      <c r="A28" s="3"/>
      <c r="B28" s="3"/>
      <c r="C28" s="3"/>
      <c r="D28" s="3"/>
      <c r="E28" s="3"/>
      <c r="F28" s="3"/>
      <c r="G28" s="3"/>
      <c r="H28" s="3"/>
      <c r="I28" s="3"/>
      <c r="J28" s="6">
        <f t="shared" si="1"/>
        <v>0</v>
      </c>
      <c r="K28" s="3" t="str">
        <f t="shared" si="0"/>
        <v>تنبيه: أعد التعبئة</v>
      </c>
      <c r="L28" s="3"/>
      <c r="M28" s="3"/>
      <c r="N28" s="3"/>
    </row>
    <row r="29" spans="1:14" x14ac:dyDescent="0.35">
      <c r="A29" s="3"/>
      <c r="B29" s="3"/>
      <c r="C29" s="3"/>
      <c r="D29" s="3"/>
      <c r="E29" s="3"/>
      <c r="F29" s="3"/>
      <c r="G29" s="3"/>
      <c r="H29" s="3"/>
      <c r="I29" s="3"/>
      <c r="J29" s="6">
        <f t="shared" si="1"/>
        <v>0</v>
      </c>
      <c r="K29" s="3" t="str">
        <f t="shared" si="0"/>
        <v>تنبيه: أعد التعبئة</v>
      </c>
      <c r="L29" s="3"/>
      <c r="M29" s="3"/>
      <c r="N29" s="3"/>
    </row>
    <row r="30" spans="1:14" x14ac:dyDescent="0.35">
      <c r="A30" s="3"/>
      <c r="B30" s="3"/>
      <c r="C30" s="3"/>
      <c r="D30" s="3"/>
      <c r="E30" s="3"/>
      <c r="F30" s="3"/>
      <c r="G30" s="3"/>
      <c r="H30" s="3"/>
      <c r="I30" s="3"/>
      <c r="J30" s="6">
        <f t="shared" si="1"/>
        <v>0</v>
      </c>
      <c r="K30" s="3" t="str">
        <f t="shared" si="0"/>
        <v>تنبيه: أعد التعبئة</v>
      </c>
      <c r="L30" s="3"/>
      <c r="M30" s="3"/>
      <c r="N30" s="3"/>
    </row>
    <row r="31" spans="1:14" x14ac:dyDescent="0.35">
      <c r="A31" s="3"/>
      <c r="B31" s="3"/>
      <c r="C31" s="3"/>
      <c r="D31" s="3"/>
      <c r="E31" s="3"/>
      <c r="F31" s="3"/>
      <c r="G31" s="3"/>
      <c r="H31" s="3"/>
      <c r="I31" s="3"/>
      <c r="J31" s="6">
        <f t="shared" si="1"/>
        <v>0</v>
      </c>
      <c r="K31" s="3" t="str">
        <f t="shared" si="0"/>
        <v>تنبيه: أعد التعبئة</v>
      </c>
      <c r="L31" s="3"/>
      <c r="M31" s="3"/>
      <c r="N31" s="3"/>
    </row>
    <row r="32" spans="1:14" x14ac:dyDescent="0.35">
      <c r="A32" s="3"/>
      <c r="B32" s="3"/>
      <c r="C32" s="3"/>
      <c r="D32" s="3"/>
      <c r="E32" s="3"/>
      <c r="F32" s="3"/>
      <c r="G32" s="3"/>
      <c r="H32" s="3"/>
      <c r="I32" s="3"/>
      <c r="J32" s="6">
        <f t="shared" si="1"/>
        <v>0</v>
      </c>
      <c r="K32" s="3" t="str">
        <f t="shared" si="0"/>
        <v>تنبيه: أعد التعبئة</v>
      </c>
      <c r="L32" s="3"/>
      <c r="M32" s="3"/>
      <c r="N32" s="3"/>
    </row>
    <row r="33" spans="1:14" x14ac:dyDescent="0.35">
      <c r="A33" s="3"/>
      <c r="B33" s="3"/>
      <c r="C33" s="3"/>
      <c r="D33" s="3"/>
      <c r="E33" s="3"/>
      <c r="F33" s="3"/>
      <c r="G33" s="3"/>
      <c r="H33" s="3"/>
      <c r="I33" s="3"/>
      <c r="J33" s="6">
        <f t="shared" si="1"/>
        <v>0</v>
      </c>
      <c r="K33" s="3" t="str">
        <f t="shared" si="0"/>
        <v>تنبيه: أعد التعبئة</v>
      </c>
      <c r="L33" s="3"/>
      <c r="M33" s="3"/>
      <c r="N33" s="3"/>
    </row>
    <row r="34" spans="1:14" x14ac:dyDescent="0.35">
      <c r="A34" s="3"/>
      <c r="B34" s="3"/>
      <c r="C34" s="3"/>
      <c r="D34" s="3"/>
      <c r="E34" s="3"/>
      <c r="F34" s="3"/>
      <c r="G34" s="3"/>
      <c r="H34" s="3"/>
      <c r="I34" s="3"/>
      <c r="J34" s="6">
        <f t="shared" si="1"/>
        <v>0</v>
      </c>
      <c r="K34" s="3" t="str">
        <f t="shared" si="0"/>
        <v>تنبيه: أعد التعبئة</v>
      </c>
      <c r="L34" s="3"/>
      <c r="M34" s="3"/>
      <c r="N34" s="3"/>
    </row>
    <row r="35" spans="1:14" x14ac:dyDescent="0.35">
      <c r="A35" s="4" t="s">
        <v>18</v>
      </c>
      <c r="B35" s="3"/>
      <c r="C35" s="3"/>
      <c r="D35" s="3"/>
      <c r="E35" s="3"/>
      <c r="F35" s="3"/>
      <c r="G35" s="5">
        <f>SUM(G4:G34)</f>
        <v>0</v>
      </c>
      <c r="H35" s="5">
        <f>SUM(H4:H34)</f>
        <v>0</v>
      </c>
      <c r="I35" s="3"/>
      <c r="J35" s="3"/>
      <c r="K35" s="3"/>
      <c r="L35" s="3"/>
      <c r="M35" s="3"/>
      <c r="N35" s="3"/>
    </row>
  </sheetData>
  <mergeCells count="1">
    <mergeCell ref="A1:N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0</xdr:row>
                    <xdr:rowOff>50800</xdr:rowOff>
                  </from>
                  <to>
                    <xdr:col>6</xdr:col>
                    <xdr:colOff>762000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49</xdr:row>
                    <xdr:rowOff>6350</xdr:rowOff>
                  </from>
                  <to>
                    <xdr:col>6</xdr:col>
                    <xdr:colOff>762000</xdr:colOff>
                    <xdr:row>50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87C8D-E434-4FED-A410-CC672B1D7C24}">
  <sheetPr codeName="Sheet5"/>
  <dimension ref="A1:N35"/>
  <sheetViews>
    <sheetView rightToLeft="1" workbookViewId="0"/>
  </sheetViews>
  <sheetFormatPr defaultRowHeight="14.5" x14ac:dyDescent="0.35"/>
  <cols>
    <col min="1" max="1" width="8.6328125" customWidth="1"/>
    <col min="2" max="3" width="12.6328125" customWidth="1"/>
    <col min="4" max="4" width="10.6328125" customWidth="1"/>
    <col min="5" max="5" width="35.6328125" customWidth="1"/>
    <col min="6" max="6" width="20.6328125" customWidth="1"/>
    <col min="7" max="8" width="14.6328125" customWidth="1"/>
    <col min="9" max="9" width="12.6328125" customWidth="1"/>
    <col min="10" max="10" width="14.6328125" customWidth="1"/>
    <col min="11" max="11" width="18.6328125" customWidth="1"/>
    <col min="12" max="12" width="22.6328125" customWidth="1"/>
    <col min="13" max="14" width="14.6328125" customWidth="1"/>
  </cols>
  <sheetData>
    <row r="1" spans="1:14" ht="18.5" x14ac:dyDescent="0.45">
      <c r="A1" s="24" t="s">
        <v>22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</row>
    <row r="2" spans="1:14" x14ac:dyDescent="0.35">
      <c r="A2" s="1" t="s">
        <v>1</v>
      </c>
      <c r="B2" s="1"/>
      <c r="C2" s="1" t="s">
        <v>2</v>
      </c>
      <c r="D2" s="1">
        <v>5000</v>
      </c>
    </row>
    <row r="3" spans="1:14" x14ac:dyDescent="0.35">
      <c r="A3" s="2" t="s">
        <v>3</v>
      </c>
      <c r="B3" s="2" t="s">
        <v>4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L3" s="2" t="s">
        <v>14</v>
      </c>
      <c r="M3" s="2" t="s">
        <v>15</v>
      </c>
      <c r="N3" s="2" t="s">
        <v>16</v>
      </c>
    </row>
    <row r="4" spans="1:14" x14ac:dyDescent="0.35">
      <c r="A4" s="3" t="s">
        <v>17</v>
      </c>
      <c r="B4" s="3"/>
      <c r="C4" s="3"/>
      <c r="D4" s="3"/>
      <c r="E4" s="3"/>
      <c r="F4" s="3"/>
      <c r="G4" s="6">
        <f>'04-أبريل'!G35</f>
        <v>0</v>
      </c>
      <c r="H4" s="6">
        <f>'04-أبريل'!H35</f>
        <v>0</v>
      </c>
      <c r="I4" s="3"/>
      <c r="J4" s="6">
        <f>C4-G4+H4</f>
        <v>0</v>
      </c>
      <c r="K4" s="3" t="str">
        <f t="shared" ref="K4:K34" si="0">IF(J4&lt;200,"تنبيه: أعد التعبئة","مقبول")</f>
        <v>تنبيه: أعد التعبئة</v>
      </c>
      <c r="L4" s="3"/>
      <c r="M4" s="3"/>
      <c r="N4" s="3"/>
    </row>
    <row r="5" spans="1:14" x14ac:dyDescent="0.35">
      <c r="A5" s="3"/>
      <c r="B5" s="3"/>
      <c r="C5" s="3"/>
      <c r="D5" s="3"/>
      <c r="E5" s="3"/>
      <c r="F5" s="3"/>
      <c r="G5" s="3"/>
      <c r="H5" s="3"/>
      <c r="I5" s="3"/>
      <c r="J5" s="6">
        <f t="shared" ref="J5:J34" si="1">J4-G5+H5</f>
        <v>0</v>
      </c>
      <c r="K5" s="3" t="str">
        <f t="shared" si="0"/>
        <v>تنبيه: أعد التعبئة</v>
      </c>
      <c r="L5" s="3"/>
      <c r="M5" s="3"/>
      <c r="N5" s="3"/>
    </row>
    <row r="6" spans="1:14" x14ac:dyDescent="0.35">
      <c r="A6" s="3"/>
      <c r="B6" s="3"/>
      <c r="C6" s="3"/>
      <c r="D6" s="3"/>
      <c r="E6" s="3"/>
      <c r="F6" s="3"/>
      <c r="G6" s="3"/>
      <c r="H6" s="3"/>
      <c r="I6" s="3"/>
      <c r="J6" s="6">
        <f t="shared" si="1"/>
        <v>0</v>
      </c>
      <c r="K6" s="3" t="str">
        <f t="shared" si="0"/>
        <v>تنبيه: أعد التعبئة</v>
      </c>
      <c r="L6" s="3"/>
      <c r="M6" s="3"/>
      <c r="N6" s="3"/>
    </row>
    <row r="7" spans="1:14" x14ac:dyDescent="0.35">
      <c r="A7" s="3"/>
      <c r="B7" s="3"/>
      <c r="C7" s="3"/>
      <c r="D7" s="3"/>
      <c r="E7" s="3"/>
      <c r="F7" s="3"/>
      <c r="G7" s="3"/>
      <c r="H7" s="3"/>
      <c r="I7" s="3"/>
      <c r="J7" s="6">
        <f t="shared" si="1"/>
        <v>0</v>
      </c>
      <c r="K7" s="3" t="str">
        <f t="shared" si="0"/>
        <v>تنبيه: أعد التعبئة</v>
      </c>
      <c r="L7" s="3"/>
      <c r="M7" s="3"/>
      <c r="N7" s="3"/>
    </row>
    <row r="8" spans="1:14" x14ac:dyDescent="0.35">
      <c r="A8" s="3"/>
      <c r="B8" s="3"/>
      <c r="C8" s="3"/>
      <c r="D8" s="3"/>
      <c r="E8" s="3"/>
      <c r="F8" s="3"/>
      <c r="G8" s="3"/>
      <c r="H8" s="3"/>
      <c r="I8" s="3"/>
      <c r="J8" s="6">
        <f t="shared" si="1"/>
        <v>0</v>
      </c>
      <c r="K8" s="3" t="str">
        <f t="shared" si="0"/>
        <v>تنبيه: أعد التعبئة</v>
      </c>
      <c r="L8" s="3"/>
      <c r="M8" s="3"/>
      <c r="N8" s="3"/>
    </row>
    <row r="9" spans="1:14" x14ac:dyDescent="0.35">
      <c r="A9" s="3"/>
      <c r="B9" s="3"/>
      <c r="C9" s="3"/>
      <c r="D9" s="3"/>
      <c r="E9" s="3"/>
      <c r="F9" s="3"/>
      <c r="G9" s="3"/>
      <c r="H9" s="3"/>
      <c r="I9" s="3"/>
      <c r="J9" s="6">
        <f t="shared" si="1"/>
        <v>0</v>
      </c>
      <c r="K9" s="3" t="str">
        <f t="shared" si="0"/>
        <v>تنبيه: أعد التعبئة</v>
      </c>
      <c r="L9" s="3"/>
      <c r="M9" s="3"/>
      <c r="N9" s="3"/>
    </row>
    <row r="10" spans="1:14" x14ac:dyDescent="0.35">
      <c r="A10" s="3"/>
      <c r="B10" s="3"/>
      <c r="C10" s="3"/>
      <c r="D10" s="3"/>
      <c r="E10" s="3"/>
      <c r="F10" s="3"/>
      <c r="G10" s="3"/>
      <c r="H10" s="3"/>
      <c r="I10" s="3"/>
      <c r="J10" s="6">
        <f t="shared" si="1"/>
        <v>0</v>
      </c>
      <c r="K10" s="3" t="str">
        <f t="shared" si="0"/>
        <v>تنبيه: أعد التعبئة</v>
      </c>
      <c r="L10" s="3"/>
      <c r="M10" s="3"/>
      <c r="N10" s="3"/>
    </row>
    <row r="11" spans="1:14" x14ac:dyDescent="0.35">
      <c r="A11" s="3"/>
      <c r="B11" s="3"/>
      <c r="C11" s="3"/>
      <c r="D11" s="3"/>
      <c r="E11" s="3"/>
      <c r="F11" s="3"/>
      <c r="G11" s="3"/>
      <c r="H11" s="3"/>
      <c r="I11" s="3"/>
      <c r="J11" s="6">
        <f t="shared" si="1"/>
        <v>0</v>
      </c>
      <c r="K11" s="3" t="str">
        <f t="shared" si="0"/>
        <v>تنبيه: أعد التعبئة</v>
      </c>
      <c r="L11" s="3"/>
      <c r="M11" s="3"/>
      <c r="N11" s="3"/>
    </row>
    <row r="12" spans="1:14" x14ac:dyDescent="0.35">
      <c r="A12" s="3"/>
      <c r="B12" s="3"/>
      <c r="C12" s="3"/>
      <c r="D12" s="3"/>
      <c r="E12" s="3"/>
      <c r="F12" s="3"/>
      <c r="G12" s="3"/>
      <c r="H12" s="3"/>
      <c r="I12" s="3"/>
      <c r="J12" s="6">
        <f t="shared" si="1"/>
        <v>0</v>
      </c>
      <c r="K12" s="3" t="str">
        <f t="shared" si="0"/>
        <v>تنبيه: أعد التعبئة</v>
      </c>
      <c r="L12" s="3"/>
      <c r="M12" s="3"/>
      <c r="N12" s="3"/>
    </row>
    <row r="13" spans="1:14" x14ac:dyDescent="0.35">
      <c r="A13" s="3"/>
      <c r="B13" s="3"/>
      <c r="C13" s="3"/>
      <c r="D13" s="3"/>
      <c r="E13" s="3"/>
      <c r="F13" s="3"/>
      <c r="G13" s="3"/>
      <c r="H13" s="3"/>
      <c r="I13" s="3"/>
      <c r="J13" s="6">
        <f t="shared" si="1"/>
        <v>0</v>
      </c>
      <c r="K13" s="3" t="str">
        <f t="shared" si="0"/>
        <v>تنبيه: أعد التعبئة</v>
      </c>
      <c r="L13" s="3"/>
      <c r="M13" s="3"/>
      <c r="N13" s="3"/>
    </row>
    <row r="14" spans="1:14" x14ac:dyDescent="0.35">
      <c r="A14" s="3"/>
      <c r="B14" s="3"/>
      <c r="C14" s="3"/>
      <c r="D14" s="3"/>
      <c r="E14" s="3"/>
      <c r="F14" s="3"/>
      <c r="G14" s="3"/>
      <c r="H14" s="3"/>
      <c r="I14" s="3"/>
      <c r="J14" s="6">
        <f t="shared" si="1"/>
        <v>0</v>
      </c>
      <c r="K14" s="3" t="str">
        <f t="shared" si="0"/>
        <v>تنبيه: أعد التعبئة</v>
      </c>
      <c r="L14" s="3"/>
      <c r="M14" s="3"/>
      <c r="N14" s="3"/>
    </row>
    <row r="15" spans="1:14" x14ac:dyDescent="0.35">
      <c r="A15" s="3"/>
      <c r="B15" s="3"/>
      <c r="C15" s="3"/>
      <c r="D15" s="3"/>
      <c r="E15" s="3"/>
      <c r="F15" s="3"/>
      <c r="G15" s="3"/>
      <c r="H15" s="3"/>
      <c r="I15" s="3"/>
      <c r="J15" s="6">
        <f t="shared" si="1"/>
        <v>0</v>
      </c>
      <c r="K15" s="3" t="str">
        <f t="shared" si="0"/>
        <v>تنبيه: أعد التعبئة</v>
      </c>
      <c r="L15" s="3"/>
      <c r="M15" s="3"/>
      <c r="N15" s="3"/>
    </row>
    <row r="16" spans="1:14" x14ac:dyDescent="0.35">
      <c r="A16" s="3"/>
      <c r="B16" s="3"/>
      <c r="C16" s="3"/>
      <c r="D16" s="3"/>
      <c r="E16" s="3"/>
      <c r="F16" s="3"/>
      <c r="G16" s="3"/>
      <c r="H16" s="3"/>
      <c r="I16" s="3"/>
      <c r="J16" s="6">
        <f t="shared" si="1"/>
        <v>0</v>
      </c>
      <c r="K16" s="3" t="str">
        <f t="shared" si="0"/>
        <v>تنبيه: أعد التعبئة</v>
      </c>
      <c r="L16" s="3"/>
      <c r="M16" s="3"/>
      <c r="N16" s="3"/>
    </row>
    <row r="17" spans="1:14" x14ac:dyDescent="0.35">
      <c r="A17" s="3"/>
      <c r="B17" s="3"/>
      <c r="C17" s="3"/>
      <c r="D17" s="3"/>
      <c r="E17" s="3"/>
      <c r="F17" s="3"/>
      <c r="G17" s="3"/>
      <c r="H17" s="3"/>
      <c r="I17" s="3"/>
      <c r="J17" s="6">
        <f t="shared" si="1"/>
        <v>0</v>
      </c>
      <c r="K17" s="3" t="str">
        <f t="shared" si="0"/>
        <v>تنبيه: أعد التعبئة</v>
      </c>
      <c r="L17" s="3"/>
      <c r="M17" s="3"/>
      <c r="N17" s="3"/>
    </row>
    <row r="18" spans="1:14" x14ac:dyDescent="0.35">
      <c r="A18" s="3"/>
      <c r="B18" s="3"/>
      <c r="C18" s="3"/>
      <c r="D18" s="3"/>
      <c r="E18" s="3"/>
      <c r="F18" s="3"/>
      <c r="G18" s="3"/>
      <c r="H18" s="3"/>
      <c r="I18" s="3"/>
      <c r="J18" s="6">
        <f t="shared" si="1"/>
        <v>0</v>
      </c>
      <c r="K18" s="3" t="str">
        <f t="shared" si="0"/>
        <v>تنبيه: أعد التعبئة</v>
      </c>
      <c r="L18" s="3"/>
      <c r="M18" s="3"/>
      <c r="N18" s="3"/>
    </row>
    <row r="19" spans="1:14" x14ac:dyDescent="0.35">
      <c r="A19" s="3"/>
      <c r="B19" s="3"/>
      <c r="C19" s="3"/>
      <c r="D19" s="3"/>
      <c r="E19" s="3"/>
      <c r="F19" s="3"/>
      <c r="G19" s="3"/>
      <c r="H19" s="3"/>
      <c r="I19" s="3"/>
      <c r="J19" s="6">
        <f t="shared" si="1"/>
        <v>0</v>
      </c>
      <c r="K19" s="3" t="str">
        <f t="shared" si="0"/>
        <v>تنبيه: أعد التعبئة</v>
      </c>
      <c r="L19" s="3"/>
      <c r="M19" s="3"/>
      <c r="N19" s="3"/>
    </row>
    <row r="20" spans="1:14" x14ac:dyDescent="0.35">
      <c r="A20" s="3"/>
      <c r="B20" s="3"/>
      <c r="C20" s="3"/>
      <c r="D20" s="3"/>
      <c r="E20" s="3"/>
      <c r="F20" s="3"/>
      <c r="G20" s="3"/>
      <c r="H20" s="3"/>
      <c r="I20" s="3"/>
      <c r="J20" s="6">
        <f t="shared" si="1"/>
        <v>0</v>
      </c>
      <c r="K20" s="3" t="str">
        <f t="shared" si="0"/>
        <v>تنبيه: أعد التعبئة</v>
      </c>
      <c r="L20" s="3"/>
      <c r="M20" s="3"/>
      <c r="N20" s="3"/>
    </row>
    <row r="21" spans="1:14" x14ac:dyDescent="0.35">
      <c r="A21" s="3"/>
      <c r="B21" s="3"/>
      <c r="C21" s="3"/>
      <c r="D21" s="3"/>
      <c r="E21" s="3"/>
      <c r="F21" s="3"/>
      <c r="G21" s="3"/>
      <c r="H21" s="3"/>
      <c r="I21" s="3"/>
      <c r="J21" s="6">
        <f t="shared" si="1"/>
        <v>0</v>
      </c>
      <c r="K21" s="3" t="str">
        <f t="shared" si="0"/>
        <v>تنبيه: أعد التعبئة</v>
      </c>
      <c r="L21" s="3"/>
      <c r="M21" s="3"/>
      <c r="N21" s="3"/>
    </row>
    <row r="22" spans="1:14" x14ac:dyDescent="0.35">
      <c r="A22" s="3"/>
      <c r="B22" s="3"/>
      <c r="C22" s="3"/>
      <c r="D22" s="3"/>
      <c r="E22" s="3"/>
      <c r="F22" s="3"/>
      <c r="G22" s="3"/>
      <c r="H22" s="3"/>
      <c r="I22" s="3"/>
      <c r="J22" s="6">
        <f t="shared" si="1"/>
        <v>0</v>
      </c>
      <c r="K22" s="3" t="str">
        <f t="shared" si="0"/>
        <v>تنبيه: أعد التعبئة</v>
      </c>
      <c r="L22" s="3"/>
      <c r="M22" s="3"/>
      <c r="N22" s="3"/>
    </row>
    <row r="23" spans="1:14" x14ac:dyDescent="0.35">
      <c r="A23" s="3"/>
      <c r="B23" s="3"/>
      <c r="C23" s="3"/>
      <c r="D23" s="3"/>
      <c r="E23" s="3"/>
      <c r="F23" s="3"/>
      <c r="G23" s="3"/>
      <c r="H23" s="3"/>
      <c r="I23" s="3"/>
      <c r="J23" s="6">
        <f t="shared" si="1"/>
        <v>0</v>
      </c>
      <c r="K23" s="3" t="str">
        <f t="shared" si="0"/>
        <v>تنبيه: أعد التعبئة</v>
      </c>
      <c r="L23" s="3"/>
      <c r="M23" s="3"/>
      <c r="N23" s="3"/>
    </row>
    <row r="24" spans="1:14" x14ac:dyDescent="0.35">
      <c r="A24" s="3"/>
      <c r="B24" s="3"/>
      <c r="C24" s="3"/>
      <c r="D24" s="3"/>
      <c r="E24" s="3"/>
      <c r="F24" s="3"/>
      <c r="G24" s="3"/>
      <c r="H24" s="3"/>
      <c r="I24" s="3"/>
      <c r="J24" s="6">
        <f t="shared" si="1"/>
        <v>0</v>
      </c>
      <c r="K24" s="3" t="str">
        <f t="shared" si="0"/>
        <v>تنبيه: أعد التعبئة</v>
      </c>
      <c r="L24" s="3"/>
      <c r="M24" s="3"/>
      <c r="N24" s="3"/>
    </row>
    <row r="25" spans="1:14" x14ac:dyDescent="0.35">
      <c r="A25" s="3"/>
      <c r="B25" s="3"/>
      <c r="C25" s="3"/>
      <c r="D25" s="3"/>
      <c r="E25" s="3"/>
      <c r="F25" s="3"/>
      <c r="G25" s="3"/>
      <c r="H25" s="3"/>
      <c r="I25" s="3"/>
      <c r="J25" s="6">
        <f t="shared" si="1"/>
        <v>0</v>
      </c>
      <c r="K25" s="3" t="str">
        <f t="shared" si="0"/>
        <v>تنبيه: أعد التعبئة</v>
      </c>
      <c r="L25" s="3"/>
      <c r="M25" s="3"/>
      <c r="N25" s="3"/>
    </row>
    <row r="26" spans="1:14" x14ac:dyDescent="0.35">
      <c r="A26" s="3"/>
      <c r="B26" s="3"/>
      <c r="C26" s="3"/>
      <c r="D26" s="3"/>
      <c r="E26" s="3"/>
      <c r="F26" s="3"/>
      <c r="G26" s="3"/>
      <c r="H26" s="3"/>
      <c r="I26" s="3"/>
      <c r="J26" s="6">
        <f t="shared" si="1"/>
        <v>0</v>
      </c>
      <c r="K26" s="3" t="str">
        <f t="shared" si="0"/>
        <v>تنبيه: أعد التعبئة</v>
      </c>
      <c r="L26" s="3"/>
      <c r="M26" s="3"/>
      <c r="N26" s="3"/>
    </row>
    <row r="27" spans="1:14" x14ac:dyDescent="0.35">
      <c r="A27" s="3"/>
      <c r="B27" s="3"/>
      <c r="C27" s="3"/>
      <c r="D27" s="3"/>
      <c r="E27" s="3"/>
      <c r="F27" s="3"/>
      <c r="G27" s="3"/>
      <c r="H27" s="3"/>
      <c r="I27" s="3"/>
      <c r="J27" s="6">
        <f t="shared" si="1"/>
        <v>0</v>
      </c>
      <c r="K27" s="3" t="str">
        <f t="shared" si="0"/>
        <v>تنبيه: أعد التعبئة</v>
      </c>
      <c r="L27" s="3"/>
      <c r="M27" s="3"/>
      <c r="N27" s="3"/>
    </row>
    <row r="28" spans="1:14" x14ac:dyDescent="0.35">
      <c r="A28" s="3"/>
      <c r="B28" s="3"/>
      <c r="C28" s="3"/>
      <c r="D28" s="3"/>
      <c r="E28" s="3"/>
      <c r="F28" s="3"/>
      <c r="G28" s="3"/>
      <c r="H28" s="3"/>
      <c r="I28" s="3"/>
      <c r="J28" s="6">
        <f t="shared" si="1"/>
        <v>0</v>
      </c>
      <c r="K28" s="3" t="str">
        <f t="shared" si="0"/>
        <v>تنبيه: أعد التعبئة</v>
      </c>
      <c r="L28" s="3"/>
      <c r="M28" s="3"/>
      <c r="N28" s="3"/>
    </row>
    <row r="29" spans="1:14" x14ac:dyDescent="0.35">
      <c r="A29" s="3"/>
      <c r="B29" s="3"/>
      <c r="C29" s="3"/>
      <c r="D29" s="3"/>
      <c r="E29" s="3"/>
      <c r="F29" s="3"/>
      <c r="G29" s="3"/>
      <c r="H29" s="3"/>
      <c r="I29" s="3"/>
      <c r="J29" s="6">
        <f t="shared" si="1"/>
        <v>0</v>
      </c>
      <c r="K29" s="3" t="str">
        <f t="shared" si="0"/>
        <v>تنبيه: أعد التعبئة</v>
      </c>
      <c r="L29" s="3"/>
      <c r="M29" s="3"/>
      <c r="N29" s="3"/>
    </row>
    <row r="30" spans="1:14" x14ac:dyDescent="0.35">
      <c r="A30" s="3"/>
      <c r="B30" s="3"/>
      <c r="C30" s="3"/>
      <c r="D30" s="3"/>
      <c r="E30" s="3"/>
      <c r="F30" s="3"/>
      <c r="G30" s="3"/>
      <c r="H30" s="3"/>
      <c r="I30" s="3"/>
      <c r="J30" s="6">
        <f t="shared" si="1"/>
        <v>0</v>
      </c>
      <c r="K30" s="3" t="str">
        <f t="shared" si="0"/>
        <v>تنبيه: أعد التعبئة</v>
      </c>
      <c r="L30" s="3"/>
      <c r="M30" s="3"/>
      <c r="N30" s="3"/>
    </row>
    <row r="31" spans="1:14" x14ac:dyDescent="0.35">
      <c r="A31" s="3"/>
      <c r="B31" s="3"/>
      <c r="C31" s="3"/>
      <c r="D31" s="3"/>
      <c r="E31" s="3"/>
      <c r="F31" s="3"/>
      <c r="G31" s="3"/>
      <c r="H31" s="3"/>
      <c r="I31" s="3"/>
      <c r="J31" s="6">
        <f t="shared" si="1"/>
        <v>0</v>
      </c>
      <c r="K31" s="3" t="str">
        <f t="shared" si="0"/>
        <v>تنبيه: أعد التعبئة</v>
      </c>
      <c r="L31" s="3"/>
      <c r="M31" s="3"/>
      <c r="N31" s="3"/>
    </row>
    <row r="32" spans="1:14" x14ac:dyDescent="0.35">
      <c r="A32" s="3"/>
      <c r="B32" s="3"/>
      <c r="C32" s="3"/>
      <c r="D32" s="3"/>
      <c r="E32" s="3"/>
      <c r="F32" s="3"/>
      <c r="G32" s="3"/>
      <c r="H32" s="3"/>
      <c r="I32" s="3"/>
      <c r="J32" s="6">
        <f t="shared" si="1"/>
        <v>0</v>
      </c>
      <c r="K32" s="3" t="str">
        <f t="shared" si="0"/>
        <v>تنبيه: أعد التعبئة</v>
      </c>
      <c r="L32" s="3"/>
      <c r="M32" s="3"/>
      <c r="N32" s="3"/>
    </row>
    <row r="33" spans="1:14" x14ac:dyDescent="0.35">
      <c r="A33" s="3"/>
      <c r="B33" s="3"/>
      <c r="C33" s="3"/>
      <c r="D33" s="3"/>
      <c r="E33" s="3"/>
      <c r="F33" s="3"/>
      <c r="G33" s="3"/>
      <c r="H33" s="3"/>
      <c r="I33" s="3"/>
      <c r="J33" s="6">
        <f t="shared" si="1"/>
        <v>0</v>
      </c>
      <c r="K33" s="3" t="str">
        <f t="shared" si="0"/>
        <v>تنبيه: أعد التعبئة</v>
      </c>
      <c r="L33" s="3"/>
      <c r="M33" s="3"/>
      <c r="N33" s="3"/>
    </row>
    <row r="34" spans="1:14" x14ac:dyDescent="0.35">
      <c r="A34" s="3"/>
      <c r="B34" s="3"/>
      <c r="C34" s="3"/>
      <c r="D34" s="3"/>
      <c r="E34" s="3"/>
      <c r="F34" s="3"/>
      <c r="G34" s="3"/>
      <c r="H34" s="3"/>
      <c r="I34" s="3"/>
      <c r="J34" s="6">
        <f t="shared" si="1"/>
        <v>0</v>
      </c>
      <c r="K34" s="3" t="str">
        <f t="shared" si="0"/>
        <v>تنبيه: أعد التعبئة</v>
      </c>
      <c r="L34" s="3"/>
      <c r="M34" s="3"/>
      <c r="N34" s="3"/>
    </row>
    <row r="35" spans="1:14" x14ac:dyDescent="0.35">
      <c r="A35" s="4" t="s">
        <v>18</v>
      </c>
      <c r="B35" s="3"/>
      <c r="C35" s="3"/>
      <c r="D35" s="3"/>
      <c r="E35" s="3"/>
      <c r="F35" s="3"/>
      <c r="G35" s="5">
        <f>SUM(G4:G34)</f>
        <v>0</v>
      </c>
      <c r="H35" s="5">
        <f>SUM(H4:H34)</f>
        <v>0</v>
      </c>
      <c r="I35" s="3"/>
      <c r="J35" s="3"/>
      <c r="K35" s="3"/>
      <c r="L35" s="3"/>
      <c r="M35" s="3"/>
      <c r="N35" s="3"/>
    </row>
  </sheetData>
  <mergeCells count="1">
    <mergeCell ref="A1:N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0</xdr:row>
                    <xdr:rowOff>50800</xdr:rowOff>
                  </from>
                  <to>
                    <xdr:col>6</xdr:col>
                    <xdr:colOff>762000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49</xdr:row>
                    <xdr:rowOff>6350</xdr:rowOff>
                  </from>
                  <to>
                    <xdr:col>6</xdr:col>
                    <xdr:colOff>762000</xdr:colOff>
                    <xdr:row>50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43D10-95BD-485A-88A2-66EDA2DE18C6}">
  <sheetPr codeName="Sheet6"/>
  <dimension ref="A1:N35"/>
  <sheetViews>
    <sheetView rightToLeft="1" workbookViewId="0"/>
  </sheetViews>
  <sheetFormatPr defaultRowHeight="14.5" x14ac:dyDescent="0.35"/>
  <cols>
    <col min="1" max="1" width="8.6328125" customWidth="1"/>
    <col min="2" max="3" width="12.6328125" customWidth="1"/>
    <col min="4" max="4" width="10.6328125" customWidth="1"/>
    <col min="5" max="5" width="35.6328125" customWidth="1"/>
    <col min="6" max="6" width="20.6328125" customWidth="1"/>
    <col min="7" max="8" width="14.6328125" customWidth="1"/>
    <col min="9" max="9" width="12.6328125" customWidth="1"/>
    <col min="10" max="10" width="14.6328125" customWidth="1"/>
    <col min="11" max="11" width="18.6328125" customWidth="1"/>
    <col min="12" max="12" width="22.6328125" customWidth="1"/>
    <col min="13" max="14" width="14.6328125" customWidth="1"/>
  </cols>
  <sheetData>
    <row r="1" spans="1:14" ht="18.5" x14ac:dyDescent="0.45">
      <c r="A1" s="24" t="s">
        <v>23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</row>
    <row r="2" spans="1:14" x14ac:dyDescent="0.35">
      <c r="A2" s="1" t="s">
        <v>1</v>
      </c>
      <c r="B2" s="1"/>
      <c r="C2" s="1" t="s">
        <v>2</v>
      </c>
      <c r="D2" s="1">
        <v>5000</v>
      </c>
    </row>
    <row r="3" spans="1:14" x14ac:dyDescent="0.35">
      <c r="A3" s="2" t="s">
        <v>3</v>
      </c>
      <c r="B3" s="2" t="s">
        <v>4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L3" s="2" t="s">
        <v>14</v>
      </c>
      <c r="M3" s="2" t="s">
        <v>15</v>
      </c>
      <c r="N3" s="2" t="s">
        <v>16</v>
      </c>
    </row>
    <row r="4" spans="1:14" x14ac:dyDescent="0.35">
      <c r="A4" s="3" t="s">
        <v>17</v>
      </c>
      <c r="B4" s="3"/>
      <c r="C4" s="3"/>
      <c r="D4" s="3"/>
      <c r="E4" s="3"/>
      <c r="F4" s="3"/>
      <c r="G4" s="6">
        <f>'05-مايو'!G35</f>
        <v>0</v>
      </c>
      <c r="H4" s="6">
        <f>'05-مايو'!H35</f>
        <v>0</v>
      </c>
      <c r="I4" s="3"/>
      <c r="J4" s="6">
        <f>C4-G4+H4</f>
        <v>0</v>
      </c>
      <c r="K4" s="3" t="str">
        <f t="shared" ref="K4:K34" si="0">IF(J4&lt;200,"تنبيه: أعد التعبئة","مقبول")</f>
        <v>تنبيه: أعد التعبئة</v>
      </c>
      <c r="L4" s="3"/>
      <c r="M4" s="3"/>
      <c r="N4" s="3"/>
    </row>
    <row r="5" spans="1:14" x14ac:dyDescent="0.35">
      <c r="A5" s="3"/>
      <c r="B5" s="3"/>
      <c r="C5" s="3"/>
      <c r="D5" s="3"/>
      <c r="E5" s="3"/>
      <c r="F5" s="3"/>
      <c r="G5" s="3"/>
      <c r="H5" s="3"/>
      <c r="I5" s="3"/>
      <c r="J5" s="6">
        <f t="shared" ref="J5:J34" si="1">J4-G5+H5</f>
        <v>0</v>
      </c>
      <c r="K5" s="3" t="str">
        <f t="shared" si="0"/>
        <v>تنبيه: أعد التعبئة</v>
      </c>
      <c r="L5" s="3"/>
      <c r="M5" s="3"/>
      <c r="N5" s="3"/>
    </row>
    <row r="6" spans="1:14" x14ac:dyDescent="0.35">
      <c r="A6" s="3"/>
      <c r="B6" s="3"/>
      <c r="C6" s="3"/>
      <c r="D6" s="3"/>
      <c r="E6" s="3"/>
      <c r="F6" s="3"/>
      <c r="G6" s="3"/>
      <c r="H6" s="3"/>
      <c r="I6" s="3"/>
      <c r="J6" s="6">
        <f t="shared" si="1"/>
        <v>0</v>
      </c>
      <c r="K6" s="3" t="str">
        <f t="shared" si="0"/>
        <v>تنبيه: أعد التعبئة</v>
      </c>
      <c r="L6" s="3"/>
      <c r="M6" s="3"/>
      <c r="N6" s="3"/>
    </row>
    <row r="7" spans="1:14" x14ac:dyDescent="0.35">
      <c r="A7" s="3"/>
      <c r="B7" s="3"/>
      <c r="C7" s="3"/>
      <c r="D7" s="3"/>
      <c r="E7" s="3"/>
      <c r="F7" s="3"/>
      <c r="G7" s="3"/>
      <c r="H7" s="3"/>
      <c r="I7" s="3"/>
      <c r="J7" s="6">
        <f t="shared" si="1"/>
        <v>0</v>
      </c>
      <c r="K7" s="3" t="str">
        <f t="shared" si="0"/>
        <v>تنبيه: أعد التعبئة</v>
      </c>
      <c r="L7" s="3"/>
      <c r="M7" s="3"/>
      <c r="N7" s="3"/>
    </row>
    <row r="8" spans="1:14" x14ac:dyDescent="0.35">
      <c r="A8" s="3"/>
      <c r="B8" s="3"/>
      <c r="C8" s="3"/>
      <c r="D8" s="3"/>
      <c r="E8" s="3"/>
      <c r="F8" s="3"/>
      <c r="G8" s="3"/>
      <c r="H8" s="3"/>
      <c r="I8" s="3"/>
      <c r="J8" s="6">
        <f t="shared" si="1"/>
        <v>0</v>
      </c>
      <c r="K8" s="3" t="str">
        <f t="shared" si="0"/>
        <v>تنبيه: أعد التعبئة</v>
      </c>
      <c r="L8" s="3"/>
      <c r="M8" s="3"/>
      <c r="N8" s="3"/>
    </row>
    <row r="9" spans="1:14" x14ac:dyDescent="0.35">
      <c r="A9" s="3"/>
      <c r="B9" s="3"/>
      <c r="C9" s="3"/>
      <c r="D9" s="3"/>
      <c r="E9" s="3"/>
      <c r="F9" s="3"/>
      <c r="G9" s="3"/>
      <c r="H9" s="3"/>
      <c r="I9" s="3"/>
      <c r="J9" s="6">
        <f t="shared" si="1"/>
        <v>0</v>
      </c>
      <c r="K9" s="3" t="str">
        <f t="shared" si="0"/>
        <v>تنبيه: أعد التعبئة</v>
      </c>
      <c r="L9" s="3"/>
      <c r="M9" s="3"/>
      <c r="N9" s="3"/>
    </row>
    <row r="10" spans="1:14" x14ac:dyDescent="0.35">
      <c r="A10" s="3"/>
      <c r="B10" s="3"/>
      <c r="C10" s="3"/>
      <c r="D10" s="3"/>
      <c r="E10" s="3"/>
      <c r="F10" s="3"/>
      <c r="G10" s="3"/>
      <c r="H10" s="3"/>
      <c r="I10" s="3"/>
      <c r="J10" s="6">
        <f t="shared" si="1"/>
        <v>0</v>
      </c>
      <c r="K10" s="3" t="str">
        <f t="shared" si="0"/>
        <v>تنبيه: أعد التعبئة</v>
      </c>
      <c r="L10" s="3"/>
      <c r="M10" s="3"/>
      <c r="N10" s="3"/>
    </row>
    <row r="11" spans="1:14" x14ac:dyDescent="0.35">
      <c r="A11" s="3"/>
      <c r="B11" s="3"/>
      <c r="C11" s="3"/>
      <c r="D11" s="3"/>
      <c r="E11" s="3"/>
      <c r="F11" s="3"/>
      <c r="G11" s="3"/>
      <c r="H11" s="3"/>
      <c r="I11" s="3"/>
      <c r="J11" s="6">
        <f t="shared" si="1"/>
        <v>0</v>
      </c>
      <c r="K11" s="3" t="str">
        <f t="shared" si="0"/>
        <v>تنبيه: أعد التعبئة</v>
      </c>
      <c r="L11" s="3"/>
      <c r="M11" s="3"/>
      <c r="N11" s="3"/>
    </row>
    <row r="12" spans="1:14" x14ac:dyDescent="0.35">
      <c r="A12" s="3"/>
      <c r="B12" s="3"/>
      <c r="C12" s="3"/>
      <c r="D12" s="3"/>
      <c r="E12" s="3"/>
      <c r="F12" s="3"/>
      <c r="G12" s="3"/>
      <c r="H12" s="3"/>
      <c r="I12" s="3"/>
      <c r="J12" s="6">
        <f t="shared" si="1"/>
        <v>0</v>
      </c>
      <c r="K12" s="3" t="str">
        <f t="shared" si="0"/>
        <v>تنبيه: أعد التعبئة</v>
      </c>
      <c r="L12" s="3"/>
      <c r="M12" s="3"/>
      <c r="N12" s="3"/>
    </row>
    <row r="13" spans="1:14" x14ac:dyDescent="0.35">
      <c r="A13" s="3"/>
      <c r="B13" s="3"/>
      <c r="C13" s="3"/>
      <c r="D13" s="3"/>
      <c r="E13" s="3"/>
      <c r="F13" s="3"/>
      <c r="G13" s="3"/>
      <c r="H13" s="3"/>
      <c r="I13" s="3"/>
      <c r="J13" s="6">
        <f t="shared" si="1"/>
        <v>0</v>
      </c>
      <c r="K13" s="3" t="str">
        <f t="shared" si="0"/>
        <v>تنبيه: أعد التعبئة</v>
      </c>
      <c r="L13" s="3"/>
      <c r="M13" s="3"/>
      <c r="N13" s="3"/>
    </row>
    <row r="14" spans="1:14" x14ac:dyDescent="0.35">
      <c r="A14" s="3"/>
      <c r="B14" s="3"/>
      <c r="C14" s="3"/>
      <c r="D14" s="3"/>
      <c r="E14" s="3"/>
      <c r="F14" s="3"/>
      <c r="G14" s="3"/>
      <c r="H14" s="3"/>
      <c r="I14" s="3"/>
      <c r="J14" s="6">
        <f t="shared" si="1"/>
        <v>0</v>
      </c>
      <c r="K14" s="3" t="str">
        <f t="shared" si="0"/>
        <v>تنبيه: أعد التعبئة</v>
      </c>
      <c r="L14" s="3"/>
      <c r="M14" s="3"/>
      <c r="N14" s="3"/>
    </row>
    <row r="15" spans="1:14" x14ac:dyDescent="0.35">
      <c r="A15" s="3"/>
      <c r="B15" s="3"/>
      <c r="C15" s="3"/>
      <c r="D15" s="3"/>
      <c r="E15" s="3"/>
      <c r="F15" s="3"/>
      <c r="G15" s="3"/>
      <c r="H15" s="3"/>
      <c r="I15" s="3"/>
      <c r="J15" s="6">
        <f t="shared" si="1"/>
        <v>0</v>
      </c>
      <c r="K15" s="3" t="str">
        <f t="shared" si="0"/>
        <v>تنبيه: أعد التعبئة</v>
      </c>
      <c r="L15" s="3"/>
      <c r="M15" s="3"/>
      <c r="N15" s="3"/>
    </row>
    <row r="16" spans="1:14" x14ac:dyDescent="0.35">
      <c r="A16" s="3"/>
      <c r="B16" s="3"/>
      <c r="C16" s="3"/>
      <c r="D16" s="3"/>
      <c r="E16" s="3"/>
      <c r="F16" s="3"/>
      <c r="G16" s="3"/>
      <c r="H16" s="3"/>
      <c r="I16" s="3"/>
      <c r="J16" s="6">
        <f t="shared" si="1"/>
        <v>0</v>
      </c>
      <c r="K16" s="3" t="str">
        <f t="shared" si="0"/>
        <v>تنبيه: أعد التعبئة</v>
      </c>
      <c r="L16" s="3"/>
      <c r="M16" s="3"/>
      <c r="N16" s="3"/>
    </row>
    <row r="17" spans="1:14" x14ac:dyDescent="0.35">
      <c r="A17" s="3"/>
      <c r="B17" s="3"/>
      <c r="C17" s="3"/>
      <c r="D17" s="3"/>
      <c r="E17" s="3"/>
      <c r="F17" s="3"/>
      <c r="G17" s="3"/>
      <c r="H17" s="3"/>
      <c r="I17" s="3"/>
      <c r="J17" s="6">
        <f t="shared" si="1"/>
        <v>0</v>
      </c>
      <c r="K17" s="3" t="str">
        <f t="shared" si="0"/>
        <v>تنبيه: أعد التعبئة</v>
      </c>
      <c r="L17" s="3"/>
      <c r="M17" s="3"/>
      <c r="N17" s="3"/>
    </row>
    <row r="18" spans="1:14" x14ac:dyDescent="0.35">
      <c r="A18" s="3"/>
      <c r="B18" s="3"/>
      <c r="C18" s="3"/>
      <c r="D18" s="3"/>
      <c r="E18" s="3"/>
      <c r="F18" s="3"/>
      <c r="G18" s="3"/>
      <c r="H18" s="3"/>
      <c r="I18" s="3"/>
      <c r="J18" s="6">
        <f t="shared" si="1"/>
        <v>0</v>
      </c>
      <c r="K18" s="3" t="str">
        <f t="shared" si="0"/>
        <v>تنبيه: أعد التعبئة</v>
      </c>
      <c r="L18" s="3"/>
      <c r="M18" s="3"/>
      <c r="N18" s="3"/>
    </row>
    <row r="19" spans="1:14" x14ac:dyDescent="0.35">
      <c r="A19" s="3"/>
      <c r="B19" s="3"/>
      <c r="C19" s="3"/>
      <c r="D19" s="3"/>
      <c r="E19" s="3"/>
      <c r="F19" s="3"/>
      <c r="G19" s="3"/>
      <c r="H19" s="3"/>
      <c r="I19" s="3"/>
      <c r="J19" s="6">
        <f t="shared" si="1"/>
        <v>0</v>
      </c>
      <c r="K19" s="3" t="str">
        <f t="shared" si="0"/>
        <v>تنبيه: أعد التعبئة</v>
      </c>
      <c r="L19" s="3"/>
      <c r="M19" s="3"/>
      <c r="N19" s="3"/>
    </row>
    <row r="20" spans="1:14" x14ac:dyDescent="0.35">
      <c r="A20" s="3"/>
      <c r="B20" s="3"/>
      <c r="C20" s="3"/>
      <c r="D20" s="3"/>
      <c r="E20" s="3"/>
      <c r="F20" s="3"/>
      <c r="G20" s="3"/>
      <c r="H20" s="3"/>
      <c r="I20" s="3"/>
      <c r="J20" s="6">
        <f t="shared" si="1"/>
        <v>0</v>
      </c>
      <c r="K20" s="3" t="str">
        <f t="shared" si="0"/>
        <v>تنبيه: أعد التعبئة</v>
      </c>
      <c r="L20" s="3"/>
      <c r="M20" s="3"/>
      <c r="N20" s="3"/>
    </row>
    <row r="21" spans="1:14" x14ac:dyDescent="0.35">
      <c r="A21" s="3"/>
      <c r="B21" s="3"/>
      <c r="C21" s="3"/>
      <c r="D21" s="3"/>
      <c r="E21" s="3"/>
      <c r="F21" s="3"/>
      <c r="G21" s="3"/>
      <c r="H21" s="3"/>
      <c r="I21" s="3"/>
      <c r="J21" s="6">
        <f t="shared" si="1"/>
        <v>0</v>
      </c>
      <c r="K21" s="3" t="str">
        <f t="shared" si="0"/>
        <v>تنبيه: أعد التعبئة</v>
      </c>
      <c r="L21" s="3"/>
      <c r="M21" s="3"/>
      <c r="N21" s="3"/>
    </row>
    <row r="22" spans="1:14" x14ac:dyDescent="0.35">
      <c r="A22" s="3"/>
      <c r="B22" s="3"/>
      <c r="C22" s="3"/>
      <c r="D22" s="3"/>
      <c r="E22" s="3"/>
      <c r="F22" s="3"/>
      <c r="G22" s="3"/>
      <c r="H22" s="3"/>
      <c r="I22" s="3"/>
      <c r="J22" s="6">
        <f t="shared" si="1"/>
        <v>0</v>
      </c>
      <c r="K22" s="3" t="str">
        <f t="shared" si="0"/>
        <v>تنبيه: أعد التعبئة</v>
      </c>
      <c r="L22" s="3"/>
      <c r="M22" s="3"/>
      <c r="N22" s="3"/>
    </row>
    <row r="23" spans="1:14" x14ac:dyDescent="0.35">
      <c r="A23" s="3"/>
      <c r="B23" s="3"/>
      <c r="C23" s="3"/>
      <c r="D23" s="3"/>
      <c r="E23" s="3"/>
      <c r="F23" s="3"/>
      <c r="G23" s="3"/>
      <c r="H23" s="3"/>
      <c r="I23" s="3"/>
      <c r="J23" s="6">
        <f t="shared" si="1"/>
        <v>0</v>
      </c>
      <c r="K23" s="3" t="str">
        <f t="shared" si="0"/>
        <v>تنبيه: أعد التعبئة</v>
      </c>
      <c r="L23" s="3"/>
      <c r="M23" s="3"/>
      <c r="N23" s="3"/>
    </row>
    <row r="24" spans="1:14" x14ac:dyDescent="0.35">
      <c r="A24" s="3"/>
      <c r="B24" s="3"/>
      <c r="C24" s="3"/>
      <c r="D24" s="3"/>
      <c r="E24" s="3"/>
      <c r="F24" s="3"/>
      <c r="G24" s="3"/>
      <c r="H24" s="3"/>
      <c r="I24" s="3"/>
      <c r="J24" s="6">
        <f t="shared" si="1"/>
        <v>0</v>
      </c>
      <c r="K24" s="3" t="str">
        <f t="shared" si="0"/>
        <v>تنبيه: أعد التعبئة</v>
      </c>
      <c r="L24" s="3"/>
      <c r="M24" s="3"/>
      <c r="N24" s="3"/>
    </row>
    <row r="25" spans="1:14" x14ac:dyDescent="0.35">
      <c r="A25" s="3"/>
      <c r="B25" s="3"/>
      <c r="C25" s="3"/>
      <c r="D25" s="3"/>
      <c r="E25" s="3"/>
      <c r="F25" s="3"/>
      <c r="G25" s="3"/>
      <c r="H25" s="3"/>
      <c r="I25" s="3"/>
      <c r="J25" s="6">
        <f t="shared" si="1"/>
        <v>0</v>
      </c>
      <c r="K25" s="3" t="str">
        <f t="shared" si="0"/>
        <v>تنبيه: أعد التعبئة</v>
      </c>
      <c r="L25" s="3"/>
      <c r="M25" s="3"/>
      <c r="N25" s="3"/>
    </row>
    <row r="26" spans="1:14" x14ac:dyDescent="0.35">
      <c r="A26" s="3"/>
      <c r="B26" s="3"/>
      <c r="C26" s="3"/>
      <c r="D26" s="3"/>
      <c r="E26" s="3"/>
      <c r="F26" s="3"/>
      <c r="G26" s="3"/>
      <c r="H26" s="3"/>
      <c r="I26" s="3"/>
      <c r="J26" s="6">
        <f t="shared" si="1"/>
        <v>0</v>
      </c>
      <c r="K26" s="3" t="str">
        <f t="shared" si="0"/>
        <v>تنبيه: أعد التعبئة</v>
      </c>
      <c r="L26" s="3"/>
      <c r="M26" s="3"/>
      <c r="N26" s="3"/>
    </row>
    <row r="27" spans="1:14" x14ac:dyDescent="0.35">
      <c r="A27" s="3"/>
      <c r="B27" s="3"/>
      <c r="C27" s="3"/>
      <c r="D27" s="3"/>
      <c r="E27" s="3"/>
      <c r="F27" s="3"/>
      <c r="G27" s="3"/>
      <c r="H27" s="3"/>
      <c r="I27" s="3"/>
      <c r="J27" s="6">
        <f t="shared" si="1"/>
        <v>0</v>
      </c>
      <c r="K27" s="3" t="str">
        <f t="shared" si="0"/>
        <v>تنبيه: أعد التعبئة</v>
      </c>
      <c r="L27" s="3"/>
      <c r="M27" s="3"/>
      <c r="N27" s="3"/>
    </row>
    <row r="28" spans="1:14" x14ac:dyDescent="0.35">
      <c r="A28" s="3"/>
      <c r="B28" s="3"/>
      <c r="C28" s="3"/>
      <c r="D28" s="3"/>
      <c r="E28" s="3"/>
      <c r="F28" s="3"/>
      <c r="G28" s="3"/>
      <c r="H28" s="3"/>
      <c r="I28" s="3"/>
      <c r="J28" s="6">
        <f t="shared" si="1"/>
        <v>0</v>
      </c>
      <c r="K28" s="3" t="str">
        <f t="shared" si="0"/>
        <v>تنبيه: أعد التعبئة</v>
      </c>
      <c r="L28" s="3"/>
      <c r="M28" s="3"/>
      <c r="N28" s="3"/>
    </row>
    <row r="29" spans="1:14" x14ac:dyDescent="0.35">
      <c r="A29" s="3"/>
      <c r="B29" s="3"/>
      <c r="C29" s="3"/>
      <c r="D29" s="3"/>
      <c r="E29" s="3"/>
      <c r="F29" s="3"/>
      <c r="G29" s="3"/>
      <c r="H29" s="3"/>
      <c r="I29" s="3"/>
      <c r="J29" s="6">
        <f t="shared" si="1"/>
        <v>0</v>
      </c>
      <c r="K29" s="3" t="str">
        <f t="shared" si="0"/>
        <v>تنبيه: أعد التعبئة</v>
      </c>
      <c r="L29" s="3"/>
      <c r="M29" s="3"/>
      <c r="N29" s="3"/>
    </row>
    <row r="30" spans="1:14" x14ac:dyDescent="0.35">
      <c r="A30" s="3"/>
      <c r="B30" s="3"/>
      <c r="C30" s="3"/>
      <c r="D30" s="3"/>
      <c r="E30" s="3"/>
      <c r="F30" s="3"/>
      <c r="G30" s="3"/>
      <c r="H30" s="3"/>
      <c r="I30" s="3"/>
      <c r="J30" s="6">
        <f t="shared" si="1"/>
        <v>0</v>
      </c>
      <c r="K30" s="3" t="str">
        <f t="shared" si="0"/>
        <v>تنبيه: أعد التعبئة</v>
      </c>
      <c r="L30" s="3"/>
      <c r="M30" s="3"/>
      <c r="N30" s="3"/>
    </row>
    <row r="31" spans="1:14" x14ac:dyDescent="0.35">
      <c r="A31" s="3"/>
      <c r="B31" s="3"/>
      <c r="C31" s="3"/>
      <c r="D31" s="3"/>
      <c r="E31" s="3"/>
      <c r="F31" s="3"/>
      <c r="G31" s="3"/>
      <c r="H31" s="3"/>
      <c r="I31" s="3"/>
      <c r="J31" s="6">
        <f t="shared" si="1"/>
        <v>0</v>
      </c>
      <c r="K31" s="3" t="str">
        <f t="shared" si="0"/>
        <v>تنبيه: أعد التعبئة</v>
      </c>
      <c r="L31" s="3"/>
      <c r="M31" s="3"/>
      <c r="N31" s="3"/>
    </row>
    <row r="32" spans="1:14" x14ac:dyDescent="0.35">
      <c r="A32" s="3"/>
      <c r="B32" s="3"/>
      <c r="C32" s="3"/>
      <c r="D32" s="3"/>
      <c r="E32" s="3"/>
      <c r="F32" s="3"/>
      <c r="G32" s="3"/>
      <c r="H32" s="3"/>
      <c r="I32" s="3"/>
      <c r="J32" s="6">
        <f t="shared" si="1"/>
        <v>0</v>
      </c>
      <c r="K32" s="3" t="str">
        <f t="shared" si="0"/>
        <v>تنبيه: أعد التعبئة</v>
      </c>
      <c r="L32" s="3"/>
      <c r="M32" s="3"/>
      <c r="N32" s="3"/>
    </row>
    <row r="33" spans="1:14" x14ac:dyDescent="0.35">
      <c r="A33" s="3"/>
      <c r="B33" s="3"/>
      <c r="C33" s="3"/>
      <c r="D33" s="3"/>
      <c r="E33" s="3"/>
      <c r="F33" s="3"/>
      <c r="G33" s="3"/>
      <c r="H33" s="3"/>
      <c r="I33" s="3"/>
      <c r="J33" s="6">
        <f t="shared" si="1"/>
        <v>0</v>
      </c>
      <c r="K33" s="3" t="str">
        <f t="shared" si="0"/>
        <v>تنبيه: أعد التعبئة</v>
      </c>
      <c r="L33" s="3"/>
      <c r="M33" s="3"/>
      <c r="N33" s="3"/>
    </row>
    <row r="34" spans="1:14" x14ac:dyDescent="0.35">
      <c r="A34" s="3"/>
      <c r="B34" s="3"/>
      <c r="C34" s="3"/>
      <c r="D34" s="3"/>
      <c r="E34" s="3"/>
      <c r="F34" s="3"/>
      <c r="G34" s="3"/>
      <c r="H34" s="3"/>
      <c r="I34" s="3"/>
      <c r="J34" s="6">
        <f t="shared" si="1"/>
        <v>0</v>
      </c>
      <c r="K34" s="3" t="str">
        <f t="shared" si="0"/>
        <v>تنبيه: أعد التعبئة</v>
      </c>
      <c r="L34" s="3"/>
      <c r="M34" s="3"/>
      <c r="N34" s="3"/>
    </row>
    <row r="35" spans="1:14" x14ac:dyDescent="0.35">
      <c r="A35" s="4" t="s">
        <v>18</v>
      </c>
      <c r="B35" s="3"/>
      <c r="C35" s="3"/>
      <c r="D35" s="3"/>
      <c r="E35" s="3"/>
      <c r="F35" s="3"/>
      <c r="G35" s="5">
        <f>SUM(G4:G34)</f>
        <v>0</v>
      </c>
      <c r="H35" s="5">
        <f>SUM(H4:H34)</f>
        <v>0</v>
      </c>
      <c r="I35" s="3"/>
      <c r="J35" s="3"/>
      <c r="K35" s="3"/>
      <c r="L35" s="3"/>
      <c r="M35" s="3"/>
      <c r="N35" s="3"/>
    </row>
  </sheetData>
  <mergeCells count="1">
    <mergeCell ref="A1:N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0</xdr:row>
                    <xdr:rowOff>50800</xdr:rowOff>
                  </from>
                  <to>
                    <xdr:col>6</xdr:col>
                    <xdr:colOff>762000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49</xdr:row>
                    <xdr:rowOff>6350</xdr:rowOff>
                  </from>
                  <to>
                    <xdr:col>6</xdr:col>
                    <xdr:colOff>762000</xdr:colOff>
                    <xdr:row>50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85497-D087-4D04-A0AD-E5C60EB187D9}">
  <sheetPr codeName="Sheet7"/>
  <dimension ref="A1:N35"/>
  <sheetViews>
    <sheetView rightToLeft="1" workbookViewId="0"/>
  </sheetViews>
  <sheetFormatPr defaultRowHeight="14.5" x14ac:dyDescent="0.35"/>
  <cols>
    <col min="1" max="1" width="8.6328125" customWidth="1"/>
    <col min="2" max="3" width="12.6328125" customWidth="1"/>
    <col min="4" max="4" width="10.6328125" customWidth="1"/>
    <col min="5" max="5" width="35.6328125" customWidth="1"/>
    <col min="6" max="6" width="20.6328125" customWidth="1"/>
    <col min="7" max="8" width="14.6328125" customWidth="1"/>
    <col min="9" max="9" width="12.6328125" customWidth="1"/>
    <col min="10" max="10" width="14.6328125" customWidth="1"/>
    <col min="11" max="11" width="18.6328125" customWidth="1"/>
    <col min="12" max="12" width="22.6328125" customWidth="1"/>
    <col min="13" max="14" width="14.6328125" customWidth="1"/>
  </cols>
  <sheetData>
    <row r="1" spans="1:14" ht="18.5" x14ac:dyDescent="0.45">
      <c r="A1" s="24" t="s">
        <v>24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</row>
    <row r="2" spans="1:14" x14ac:dyDescent="0.35">
      <c r="A2" s="1" t="s">
        <v>1</v>
      </c>
      <c r="B2" s="1"/>
      <c r="C2" s="1" t="s">
        <v>2</v>
      </c>
      <c r="D2" s="1">
        <v>5000</v>
      </c>
    </row>
    <row r="3" spans="1:14" x14ac:dyDescent="0.35">
      <c r="A3" s="2" t="s">
        <v>3</v>
      </c>
      <c r="B3" s="2" t="s">
        <v>4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L3" s="2" t="s">
        <v>14</v>
      </c>
      <c r="M3" s="2" t="s">
        <v>15</v>
      </c>
      <c r="N3" s="2" t="s">
        <v>16</v>
      </c>
    </row>
    <row r="4" spans="1:14" x14ac:dyDescent="0.35">
      <c r="A4" s="3" t="s">
        <v>17</v>
      </c>
      <c r="B4" s="3"/>
      <c r="C4" s="3"/>
      <c r="D4" s="3"/>
      <c r="E4" s="3"/>
      <c r="F4" s="3"/>
      <c r="G4" s="6">
        <f>'06-يونيو'!G35</f>
        <v>0</v>
      </c>
      <c r="H4" s="6">
        <f>'06-يونيو'!H35</f>
        <v>0</v>
      </c>
      <c r="I4" s="3"/>
      <c r="J4" s="6">
        <f>C4-G4+H4</f>
        <v>0</v>
      </c>
      <c r="K4" s="3" t="str">
        <f t="shared" ref="K4:K34" si="0">IF(J4&lt;200,"تنبيه: أعد التعبئة","مقبول")</f>
        <v>تنبيه: أعد التعبئة</v>
      </c>
      <c r="L4" s="3"/>
      <c r="M4" s="3"/>
      <c r="N4" s="3"/>
    </row>
    <row r="5" spans="1:14" x14ac:dyDescent="0.35">
      <c r="A5" s="3"/>
      <c r="B5" s="3"/>
      <c r="C5" s="3"/>
      <c r="D5" s="3"/>
      <c r="E5" s="3"/>
      <c r="F5" s="3"/>
      <c r="G5" s="3"/>
      <c r="H5" s="3"/>
      <c r="I5" s="3"/>
      <c r="J5" s="6">
        <f t="shared" ref="J5:J34" si="1">J4-G5+H5</f>
        <v>0</v>
      </c>
      <c r="K5" s="3" t="str">
        <f t="shared" si="0"/>
        <v>تنبيه: أعد التعبئة</v>
      </c>
      <c r="L5" s="3"/>
      <c r="M5" s="3"/>
      <c r="N5" s="3"/>
    </row>
    <row r="6" spans="1:14" x14ac:dyDescent="0.35">
      <c r="A6" s="3"/>
      <c r="B6" s="3"/>
      <c r="C6" s="3"/>
      <c r="D6" s="3"/>
      <c r="E6" s="3"/>
      <c r="F6" s="3"/>
      <c r="G6" s="3"/>
      <c r="H6" s="3"/>
      <c r="I6" s="3"/>
      <c r="J6" s="6">
        <f t="shared" si="1"/>
        <v>0</v>
      </c>
      <c r="K6" s="3" t="str">
        <f t="shared" si="0"/>
        <v>تنبيه: أعد التعبئة</v>
      </c>
      <c r="L6" s="3"/>
      <c r="M6" s="3"/>
      <c r="N6" s="3"/>
    </row>
    <row r="7" spans="1:14" x14ac:dyDescent="0.35">
      <c r="A7" s="3"/>
      <c r="B7" s="3"/>
      <c r="C7" s="3"/>
      <c r="D7" s="3"/>
      <c r="E7" s="3"/>
      <c r="F7" s="3"/>
      <c r="G7" s="3"/>
      <c r="H7" s="3"/>
      <c r="I7" s="3"/>
      <c r="J7" s="6">
        <f t="shared" si="1"/>
        <v>0</v>
      </c>
      <c r="K7" s="3" t="str">
        <f t="shared" si="0"/>
        <v>تنبيه: أعد التعبئة</v>
      </c>
      <c r="L7" s="3"/>
      <c r="M7" s="3"/>
      <c r="N7" s="3"/>
    </row>
    <row r="8" spans="1:14" x14ac:dyDescent="0.35">
      <c r="A8" s="3"/>
      <c r="B8" s="3"/>
      <c r="C8" s="3"/>
      <c r="D8" s="3"/>
      <c r="E8" s="3"/>
      <c r="F8" s="3"/>
      <c r="G8" s="3"/>
      <c r="H8" s="3"/>
      <c r="I8" s="3"/>
      <c r="J8" s="6">
        <f t="shared" si="1"/>
        <v>0</v>
      </c>
      <c r="K8" s="3" t="str">
        <f t="shared" si="0"/>
        <v>تنبيه: أعد التعبئة</v>
      </c>
      <c r="L8" s="3"/>
      <c r="M8" s="3"/>
      <c r="N8" s="3"/>
    </row>
    <row r="9" spans="1:14" x14ac:dyDescent="0.35">
      <c r="A9" s="3"/>
      <c r="B9" s="3"/>
      <c r="C9" s="3"/>
      <c r="D9" s="3"/>
      <c r="E9" s="3"/>
      <c r="F9" s="3"/>
      <c r="G9" s="3"/>
      <c r="H9" s="3"/>
      <c r="I9" s="3"/>
      <c r="J9" s="6">
        <f t="shared" si="1"/>
        <v>0</v>
      </c>
      <c r="K9" s="3" t="str">
        <f t="shared" si="0"/>
        <v>تنبيه: أعد التعبئة</v>
      </c>
      <c r="L9" s="3"/>
      <c r="M9" s="3"/>
      <c r="N9" s="3"/>
    </row>
    <row r="10" spans="1:14" x14ac:dyDescent="0.35">
      <c r="A10" s="3"/>
      <c r="B10" s="3"/>
      <c r="C10" s="3"/>
      <c r="D10" s="3"/>
      <c r="E10" s="3"/>
      <c r="F10" s="3"/>
      <c r="G10" s="3"/>
      <c r="H10" s="3"/>
      <c r="I10" s="3"/>
      <c r="J10" s="6">
        <f t="shared" si="1"/>
        <v>0</v>
      </c>
      <c r="K10" s="3" t="str">
        <f t="shared" si="0"/>
        <v>تنبيه: أعد التعبئة</v>
      </c>
      <c r="L10" s="3"/>
      <c r="M10" s="3"/>
      <c r="N10" s="3"/>
    </row>
    <row r="11" spans="1:14" x14ac:dyDescent="0.35">
      <c r="A11" s="3"/>
      <c r="B11" s="3"/>
      <c r="C11" s="3"/>
      <c r="D11" s="3"/>
      <c r="E11" s="3"/>
      <c r="F11" s="3"/>
      <c r="G11" s="3"/>
      <c r="H11" s="3"/>
      <c r="I11" s="3"/>
      <c r="J11" s="6">
        <f t="shared" si="1"/>
        <v>0</v>
      </c>
      <c r="K11" s="3" t="str">
        <f t="shared" si="0"/>
        <v>تنبيه: أعد التعبئة</v>
      </c>
      <c r="L11" s="3"/>
      <c r="M11" s="3"/>
      <c r="N11" s="3"/>
    </row>
    <row r="12" spans="1:14" x14ac:dyDescent="0.35">
      <c r="A12" s="3"/>
      <c r="B12" s="3"/>
      <c r="C12" s="3"/>
      <c r="D12" s="3"/>
      <c r="E12" s="3"/>
      <c r="F12" s="3"/>
      <c r="G12" s="3"/>
      <c r="H12" s="3"/>
      <c r="I12" s="3"/>
      <c r="J12" s="6">
        <f t="shared" si="1"/>
        <v>0</v>
      </c>
      <c r="K12" s="3" t="str">
        <f t="shared" si="0"/>
        <v>تنبيه: أعد التعبئة</v>
      </c>
      <c r="L12" s="3"/>
      <c r="M12" s="3"/>
      <c r="N12" s="3"/>
    </row>
    <row r="13" spans="1:14" x14ac:dyDescent="0.35">
      <c r="A13" s="3"/>
      <c r="B13" s="3"/>
      <c r="C13" s="3"/>
      <c r="D13" s="3"/>
      <c r="E13" s="3"/>
      <c r="F13" s="3"/>
      <c r="G13" s="3"/>
      <c r="H13" s="3"/>
      <c r="I13" s="3"/>
      <c r="J13" s="6">
        <f t="shared" si="1"/>
        <v>0</v>
      </c>
      <c r="K13" s="3" t="str">
        <f t="shared" si="0"/>
        <v>تنبيه: أعد التعبئة</v>
      </c>
      <c r="L13" s="3"/>
      <c r="M13" s="3"/>
      <c r="N13" s="3"/>
    </row>
    <row r="14" spans="1:14" x14ac:dyDescent="0.35">
      <c r="A14" s="3"/>
      <c r="B14" s="3"/>
      <c r="C14" s="3"/>
      <c r="D14" s="3"/>
      <c r="E14" s="3"/>
      <c r="F14" s="3"/>
      <c r="G14" s="3"/>
      <c r="H14" s="3"/>
      <c r="I14" s="3"/>
      <c r="J14" s="6">
        <f t="shared" si="1"/>
        <v>0</v>
      </c>
      <c r="K14" s="3" t="str">
        <f t="shared" si="0"/>
        <v>تنبيه: أعد التعبئة</v>
      </c>
      <c r="L14" s="3"/>
      <c r="M14" s="3"/>
      <c r="N14" s="3"/>
    </row>
    <row r="15" spans="1:14" x14ac:dyDescent="0.35">
      <c r="A15" s="3"/>
      <c r="B15" s="3"/>
      <c r="C15" s="3"/>
      <c r="D15" s="3"/>
      <c r="E15" s="3"/>
      <c r="F15" s="3"/>
      <c r="G15" s="3"/>
      <c r="H15" s="3"/>
      <c r="I15" s="3"/>
      <c r="J15" s="6">
        <f t="shared" si="1"/>
        <v>0</v>
      </c>
      <c r="K15" s="3" t="str">
        <f t="shared" si="0"/>
        <v>تنبيه: أعد التعبئة</v>
      </c>
      <c r="L15" s="3"/>
      <c r="M15" s="3"/>
      <c r="N15" s="3"/>
    </row>
    <row r="16" spans="1:14" x14ac:dyDescent="0.35">
      <c r="A16" s="3"/>
      <c r="B16" s="3"/>
      <c r="C16" s="3"/>
      <c r="D16" s="3"/>
      <c r="E16" s="3"/>
      <c r="F16" s="3"/>
      <c r="G16" s="3"/>
      <c r="H16" s="3"/>
      <c r="I16" s="3"/>
      <c r="J16" s="6">
        <f t="shared" si="1"/>
        <v>0</v>
      </c>
      <c r="K16" s="3" t="str">
        <f t="shared" si="0"/>
        <v>تنبيه: أعد التعبئة</v>
      </c>
      <c r="L16" s="3"/>
      <c r="M16" s="3"/>
      <c r="N16" s="3"/>
    </row>
    <row r="17" spans="1:14" x14ac:dyDescent="0.35">
      <c r="A17" s="3"/>
      <c r="B17" s="3"/>
      <c r="C17" s="3"/>
      <c r="D17" s="3"/>
      <c r="E17" s="3"/>
      <c r="F17" s="3"/>
      <c r="G17" s="3"/>
      <c r="H17" s="3"/>
      <c r="I17" s="3"/>
      <c r="J17" s="6">
        <f t="shared" si="1"/>
        <v>0</v>
      </c>
      <c r="K17" s="3" t="str">
        <f t="shared" si="0"/>
        <v>تنبيه: أعد التعبئة</v>
      </c>
      <c r="L17" s="3"/>
      <c r="M17" s="3"/>
      <c r="N17" s="3"/>
    </row>
    <row r="18" spans="1:14" x14ac:dyDescent="0.35">
      <c r="A18" s="3"/>
      <c r="B18" s="3"/>
      <c r="C18" s="3"/>
      <c r="D18" s="3"/>
      <c r="E18" s="3"/>
      <c r="F18" s="3"/>
      <c r="G18" s="3"/>
      <c r="H18" s="3"/>
      <c r="I18" s="3"/>
      <c r="J18" s="6">
        <f t="shared" si="1"/>
        <v>0</v>
      </c>
      <c r="K18" s="3" t="str">
        <f t="shared" si="0"/>
        <v>تنبيه: أعد التعبئة</v>
      </c>
      <c r="L18" s="3"/>
      <c r="M18" s="3"/>
      <c r="N18" s="3"/>
    </row>
    <row r="19" spans="1:14" x14ac:dyDescent="0.35">
      <c r="A19" s="3"/>
      <c r="B19" s="3"/>
      <c r="C19" s="3"/>
      <c r="D19" s="3"/>
      <c r="E19" s="3"/>
      <c r="F19" s="3"/>
      <c r="G19" s="3"/>
      <c r="H19" s="3"/>
      <c r="I19" s="3"/>
      <c r="J19" s="6">
        <f t="shared" si="1"/>
        <v>0</v>
      </c>
      <c r="K19" s="3" t="str">
        <f t="shared" si="0"/>
        <v>تنبيه: أعد التعبئة</v>
      </c>
      <c r="L19" s="3"/>
      <c r="M19" s="3"/>
      <c r="N19" s="3"/>
    </row>
    <row r="20" spans="1:14" x14ac:dyDescent="0.35">
      <c r="A20" s="3"/>
      <c r="B20" s="3"/>
      <c r="C20" s="3"/>
      <c r="D20" s="3"/>
      <c r="E20" s="3"/>
      <c r="F20" s="3"/>
      <c r="G20" s="3"/>
      <c r="H20" s="3"/>
      <c r="I20" s="3"/>
      <c r="J20" s="6">
        <f t="shared" si="1"/>
        <v>0</v>
      </c>
      <c r="K20" s="3" t="str">
        <f t="shared" si="0"/>
        <v>تنبيه: أعد التعبئة</v>
      </c>
      <c r="L20" s="3"/>
      <c r="M20" s="3"/>
      <c r="N20" s="3"/>
    </row>
    <row r="21" spans="1:14" x14ac:dyDescent="0.35">
      <c r="A21" s="3"/>
      <c r="B21" s="3"/>
      <c r="C21" s="3"/>
      <c r="D21" s="3"/>
      <c r="E21" s="3"/>
      <c r="F21" s="3"/>
      <c r="G21" s="3"/>
      <c r="H21" s="3"/>
      <c r="I21" s="3"/>
      <c r="J21" s="6">
        <f t="shared" si="1"/>
        <v>0</v>
      </c>
      <c r="K21" s="3" t="str">
        <f t="shared" si="0"/>
        <v>تنبيه: أعد التعبئة</v>
      </c>
      <c r="L21" s="3"/>
      <c r="M21" s="3"/>
      <c r="N21" s="3"/>
    </row>
    <row r="22" spans="1:14" x14ac:dyDescent="0.35">
      <c r="A22" s="3"/>
      <c r="B22" s="3"/>
      <c r="C22" s="3"/>
      <c r="D22" s="3"/>
      <c r="E22" s="3"/>
      <c r="F22" s="3"/>
      <c r="G22" s="3"/>
      <c r="H22" s="3"/>
      <c r="I22" s="3"/>
      <c r="J22" s="6">
        <f t="shared" si="1"/>
        <v>0</v>
      </c>
      <c r="K22" s="3" t="str">
        <f t="shared" si="0"/>
        <v>تنبيه: أعد التعبئة</v>
      </c>
      <c r="L22" s="3"/>
      <c r="M22" s="3"/>
      <c r="N22" s="3"/>
    </row>
    <row r="23" spans="1:14" x14ac:dyDescent="0.35">
      <c r="A23" s="3"/>
      <c r="B23" s="3"/>
      <c r="C23" s="3"/>
      <c r="D23" s="3"/>
      <c r="E23" s="3"/>
      <c r="F23" s="3"/>
      <c r="G23" s="3"/>
      <c r="H23" s="3"/>
      <c r="I23" s="3"/>
      <c r="J23" s="6">
        <f t="shared" si="1"/>
        <v>0</v>
      </c>
      <c r="K23" s="3" t="str">
        <f t="shared" si="0"/>
        <v>تنبيه: أعد التعبئة</v>
      </c>
      <c r="L23" s="3"/>
      <c r="M23" s="3"/>
      <c r="N23" s="3"/>
    </row>
    <row r="24" spans="1:14" x14ac:dyDescent="0.35">
      <c r="A24" s="3"/>
      <c r="B24" s="3"/>
      <c r="C24" s="3"/>
      <c r="D24" s="3"/>
      <c r="E24" s="3"/>
      <c r="F24" s="3"/>
      <c r="G24" s="3"/>
      <c r="H24" s="3"/>
      <c r="I24" s="3"/>
      <c r="J24" s="6">
        <f t="shared" si="1"/>
        <v>0</v>
      </c>
      <c r="K24" s="3" t="str">
        <f t="shared" si="0"/>
        <v>تنبيه: أعد التعبئة</v>
      </c>
      <c r="L24" s="3"/>
      <c r="M24" s="3"/>
      <c r="N24" s="3"/>
    </row>
    <row r="25" spans="1:14" x14ac:dyDescent="0.35">
      <c r="A25" s="3"/>
      <c r="B25" s="3"/>
      <c r="C25" s="3"/>
      <c r="D25" s="3"/>
      <c r="E25" s="3"/>
      <c r="F25" s="3"/>
      <c r="G25" s="3"/>
      <c r="H25" s="3"/>
      <c r="I25" s="3"/>
      <c r="J25" s="6">
        <f t="shared" si="1"/>
        <v>0</v>
      </c>
      <c r="K25" s="3" t="str">
        <f t="shared" si="0"/>
        <v>تنبيه: أعد التعبئة</v>
      </c>
      <c r="L25" s="3"/>
      <c r="M25" s="3"/>
      <c r="N25" s="3"/>
    </row>
    <row r="26" spans="1:14" x14ac:dyDescent="0.35">
      <c r="A26" s="3"/>
      <c r="B26" s="3"/>
      <c r="C26" s="3"/>
      <c r="D26" s="3"/>
      <c r="E26" s="3"/>
      <c r="F26" s="3"/>
      <c r="G26" s="3"/>
      <c r="H26" s="3"/>
      <c r="I26" s="3"/>
      <c r="J26" s="6">
        <f t="shared" si="1"/>
        <v>0</v>
      </c>
      <c r="K26" s="3" t="str">
        <f t="shared" si="0"/>
        <v>تنبيه: أعد التعبئة</v>
      </c>
      <c r="L26" s="3"/>
      <c r="M26" s="3"/>
      <c r="N26" s="3"/>
    </row>
    <row r="27" spans="1:14" x14ac:dyDescent="0.35">
      <c r="A27" s="3"/>
      <c r="B27" s="3"/>
      <c r="C27" s="3"/>
      <c r="D27" s="3"/>
      <c r="E27" s="3"/>
      <c r="F27" s="3"/>
      <c r="G27" s="3"/>
      <c r="H27" s="3"/>
      <c r="I27" s="3"/>
      <c r="J27" s="6">
        <f t="shared" si="1"/>
        <v>0</v>
      </c>
      <c r="K27" s="3" t="str">
        <f t="shared" si="0"/>
        <v>تنبيه: أعد التعبئة</v>
      </c>
      <c r="L27" s="3"/>
      <c r="M27" s="3"/>
      <c r="N27" s="3"/>
    </row>
    <row r="28" spans="1:14" x14ac:dyDescent="0.35">
      <c r="A28" s="3"/>
      <c r="B28" s="3"/>
      <c r="C28" s="3"/>
      <c r="D28" s="3"/>
      <c r="E28" s="3"/>
      <c r="F28" s="3"/>
      <c r="G28" s="3"/>
      <c r="H28" s="3"/>
      <c r="I28" s="3"/>
      <c r="J28" s="6">
        <f t="shared" si="1"/>
        <v>0</v>
      </c>
      <c r="K28" s="3" t="str">
        <f t="shared" si="0"/>
        <v>تنبيه: أعد التعبئة</v>
      </c>
      <c r="L28" s="3"/>
      <c r="M28" s="3"/>
      <c r="N28" s="3"/>
    </row>
    <row r="29" spans="1:14" x14ac:dyDescent="0.35">
      <c r="A29" s="3"/>
      <c r="B29" s="3"/>
      <c r="C29" s="3"/>
      <c r="D29" s="3"/>
      <c r="E29" s="3"/>
      <c r="F29" s="3"/>
      <c r="G29" s="3"/>
      <c r="H29" s="3"/>
      <c r="I29" s="3"/>
      <c r="J29" s="6">
        <f t="shared" si="1"/>
        <v>0</v>
      </c>
      <c r="K29" s="3" t="str">
        <f t="shared" si="0"/>
        <v>تنبيه: أعد التعبئة</v>
      </c>
      <c r="L29" s="3"/>
      <c r="M29" s="3"/>
      <c r="N29" s="3"/>
    </row>
    <row r="30" spans="1:14" x14ac:dyDescent="0.35">
      <c r="A30" s="3"/>
      <c r="B30" s="3"/>
      <c r="C30" s="3"/>
      <c r="D30" s="3"/>
      <c r="E30" s="3"/>
      <c r="F30" s="3"/>
      <c r="G30" s="3"/>
      <c r="H30" s="3"/>
      <c r="I30" s="3"/>
      <c r="J30" s="6">
        <f t="shared" si="1"/>
        <v>0</v>
      </c>
      <c r="K30" s="3" t="str">
        <f t="shared" si="0"/>
        <v>تنبيه: أعد التعبئة</v>
      </c>
      <c r="L30" s="3"/>
      <c r="M30" s="3"/>
      <c r="N30" s="3"/>
    </row>
    <row r="31" spans="1:14" x14ac:dyDescent="0.35">
      <c r="A31" s="3"/>
      <c r="B31" s="3"/>
      <c r="C31" s="3"/>
      <c r="D31" s="3"/>
      <c r="E31" s="3"/>
      <c r="F31" s="3"/>
      <c r="G31" s="3"/>
      <c r="H31" s="3"/>
      <c r="I31" s="3"/>
      <c r="J31" s="6">
        <f t="shared" si="1"/>
        <v>0</v>
      </c>
      <c r="K31" s="3" t="str">
        <f t="shared" si="0"/>
        <v>تنبيه: أعد التعبئة</v>
      </c>
      <c r="L31" s="3"/>
      <c r="M31" s="3"/>
      <c r="N31" s="3"/>
    </row>
    <row r="32" spans="1:14" x14ac:dyDescent="0.35">
      <c r="A32" s="3"/>
      <c r="B32" s="3"/>
      <c r="C32" s="3"/>
      <c r="D32" s="3"/>
      <c r="E32" s="3"/>
      <c r="F32" s="3"/>
      <c r="G32" s="3"/>
      <c r="H32" s="3"/>
      <c r="I32" s="3"/>
      <c r="J32" s="6">
        <f t="shared" si="1"/>
        <v>0</v>
      </c>
      <c r="K32" s="3" t="str">
        <f t="shared" si="0"/>
        <v>تنبيه: أعد التعبئة</v>
      </c>
      <c r="L32" s="3"/>
      <c r="M32" s="3"/>
      <c r="N32" s="3"/>
    </row>
    <row r="33" spans="1:14" x14ac:dyDescent="0.35">
      <c r="A33" s="3"/>
      <c r="B33" s="3"/>
      <c r="C33" s="3"/>
      <c r="D33" s="3"/>
      <c r="E33" s="3"/>
      <c r="F33" s="3"/>
      <c r="G33" s="3"/>
      <c r="H33" s="3"/>
      <c r="I33" s="3"/>
      <c r="J33" s="6">
        <f t="shared" si="1"/>
        <v>0</v>
      </c>
      <c r="K33" s="3" t="str">
        <f t="shared" si="0"/>
        <v>تنبيه: أعد التعبئة</v>
      </c>
      <c r="L33" s="3"/>
      <c r="M33" s="3"/>
      <c r="N33" s="3"/>
    </row>
    <row r="34" spans="1:14" x14ac:dyDescent="0.35">
      <c r="A34" s="3"/>
      <c r="B34" s="3"/>
      <c r="C34" s="3"/>
      <c r="D34" s="3"/>
      <c r="E34" s="3"/>
      <c r="F34" s="3"/>
      <c r="G34" s="3"/>
      <c r="H34" s="3"/>
      <c r="I34" s="3"/>
      <c r="J34" s="6">
        <f t="shared" si="1"/>
        <v>0</v>
      </c>
      <c r="K34" s="3" t="str">
        <f t="shared" si="0"/>
        <v>تنبيه: أعد التعبئة</v>
      </c>
      <c r="L34" s="3"/>
      <c r="M34" s="3"/>
      <c r="N34" s="3"/>
    </row>
    <row r="35" spans="1:14" x14ac:dyDescent="0.35">
      <c r="A35" s="4" t="s">
        <v>18</v>
      </c>
      <c r="B35" s="3"/>
      <c r="C35" s="3"/>
      <c r="D35" s="3"/>
      <c r="E35" s="3"/>
      <c r="F35" s="3"/>
      <c r="G35" s="5">
        <f>SUM(G4:G34)</f>
        <v>0</v>
      </c>
      <c r="H35" s="5">
        <f>SUM(H4:H34)</f>
        <v>0</v>
      </c>
      <c r="I35" s="3"/>
      <c r="J35" s="3"/>
      <c r="K35" s="3"/>
      <c r="L35" s="3"/>
      <c r="M35" s="3"/>
      <c r="N35" s="3"/>
    </row>
  </sheetData>
  <mergeCells count="1">
    <mergeCell ref="A1:N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0</xdr:row>
                    <xdr:rowOff>50800</xdr:rowOff>
                  </from>
                  <to>
                    <xdr:col>6</xdr:col>
                    <xdr:colOff>762000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49</xdr:row>
                    <xdr:rowOff>6350</xdr:rowOff>
                  </from>
                  <to>
                    <xdr:col>6</xdr:col>
                    <xdr:colOff>762000</xdr:colOff>
                    <xdr:row>50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E22FC-7C78-435E-BF41-656A3F87CFC7}">
  <sheetPr codeName="Sheet10"/>
  <dimension ref="A1:N153"/>
  <sheetViews>
    <sheetView rightToLeft="1" topLeftCell="A132" workbookViewId="0">
      <selection activeCell="J139" sqref="J139"/>
    </sheetView>
  </sheetViews>
  <sheetFormatPr defaultRowHeight="14.5" x14ac:dyDescent="0.35"/>
  <cols>
    <col min="1" max="1" width="8.6328125" customWidth="1"/>
    <col min="2" max="3" width="12.6328125" customWidth="1"/>
    <col min="4" max="4" width="10.6328125" customWidth="1"/>
    <col min="5" max="5" width="35.6328125" customWidth="1"/>
    <col min="6" max="6" width="20.6328125" customWidth="1"/>
    <col min="7" max="8" width="14.6328125" customWidth="1"/>
    <col min="9" max="9" width="12.6328125" customWidth="1"/>
    <col min="10" max="10" width="14.6328125" customWidth="1"/>
    <col min="11" max="11" width="18.6328125" customWidth="1"/>
    <col min="12" max="12" width="80.08984375" bestFit="1" customWidth="1"/>
    <col min="13" max="14" width="14.6328125" customWidth="1"/>
  </cols>
  <sheetData>
    <row r="1" spans="1:14" ht="18.5" x14ac:dyDescent="0.45">
      <c r="A1" s="25" t="s">
        <v>26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</row>
    <row r="2" spans="1:14" x14ac:dyDescent="0.35">
      <c r="A2" s="4" t="s">
        <v>1</v>
      </c>
      <c r="B2" s="4"/>
      <c r="C2" s="4" t="s">
        <v>2</v>
      </c>
      <c r="D2" s="4">
        <v>5000</v>
      </c>
      <c r="E2" s="3"/>
      <c r="F2" s="3"/>
      <c r="G2" s="3"/>
      <c r="H2" s="3"/>
      <c r="I2" s="3"/>
      <c r="J2" s="3"/>
      <c r="K2" s="3"/>
      <c r="L2" s="3"/>
      <c r="M2" s="3"/>
      <c r="N2" s="3"/>
    </row>
    <row r="3" spans="1:14" x14ac:dyDescent="0.35">
      <c r="A3" s="2" t="s">
        <v>3</v>
      </c>
      <c r="B3" s="2" t="s">
        <v>4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L3" s="2" t="s">
        <v>14</v>
      </c>
      <c r="M3" s="2" t="s">
        <v>15</v>
      </c>
      <c r="N3" s="2" t="s">
        <v>16</v>
      </c>
    </row>
    <row r="4" spans="1:14" x14ac:dyDescent="0.35">
      <c r="A4" s="3">
        <v>1</v>
      </c>
      <c r="B4" s="12">
        <v>46238</v>
      </c>
      <c r="C4" s="3"/>
      <c r="D4" s="3"/>
      <c r="E4" s="3" t="s">
        <v>65</v>
      </c>
      <c r="F4" s="3"/>
      <c r="G4" s="13"/>
      <c r="H4" s="13">
        <v>5000</v>
      </c>
      <c r="I4" s="3"/>
      <c r="J4" s="6">
        <f>C4-G4+H4</f>
        <v>5000</v>
      </c>
      <c r="K4" s="3" t="str">
        <f t="shared" ref="K4:K34" si="0">IF(J4&lt;200,"تنبيه: أعد التعبئة","مقبول")</f>
        <v>مقبول</v>
      </c>
      <c r="L4" s="11"/>
      <c r="M4" s="3"/>
      <c r="N4" s="3"/>
    </row>
    <row r="5" spans="1:14" x14ac:dyDescent="0.35">
      <c r="A5" s="3">
        <v>2</v>
      </c>
      <c r="B5" s="14">
        <v>46238</v>
      </c>
      <c r="C5" s="3"/>
      <c r="D5" s="3"/>
      <c r="E5" s="3" t="s">
        <v>66</v>
      </c>
      <c r="F5" s="3"/>
      <c r="G5" s="13">
        <v>175</v>
      </c>
      <c r="H5" s="13"/>
      <c r="I5" s="3"/>
      <c r="J5" s="6">
        <f t="shared" ref="J5:J34" si="1">J4-G5+H5</f>
        <v>4825</v>
      </c>
      <c r="K5" s="3" t="str">
        <f t="shared" si="0"/>
        <v>مقبول</v>
      </c>
      <c r="L5" s="11"/>
      <c r="M5" s="3"/>
      <c r="N5" s="3"/>
    </row>
    <row r="6" spans="1:14" x14ac:dyDescent="0.35">
      <c r="A6" s="3">
        <v>3</v>
      </c>
      <c r="B6" s="14">
        <v>46238</v>
      </c>
      <c r="C6" s="3"/>
      <c r="D6" s="3"/>
      <c r="E6" s="3" t="s">
        <v>65</v>
      </c>
      <c r="F6" s="3"/>
      <c r="G6" s="13"/>
      <c r="H6" s="13">
        <v>5000</v>
      </c>
      <c r="I6" s="3"/>
      <c r="J6" s="6">
        <f t="shared" si="1"/>
        <v>9825</v>
      </c>
      <c r="K6" s="3" t="str">
        <f t="shared" si="0"/>
        <v>مقبول</v>
      </c>
      <c r="L6" s="11"/>
      <c r="M6" s="3"/>
      <c r="N6" s="3"/>
    </row>
    <row r="7" spans="1:14" x14ac:dyDescent="0.35">
      <c r="A7" s="3">
        <v>4</v>
      </c>
      <c r="B7" s="14">
        <v>46238</v>
      </c>
      <c r="C7" s="3"/>
      <c r="D7" s="3"/>
      <c r="E7" s="3" t="s">
        <v>65</v>
      </c>
      <c r="F7" s="3"/>
      <c r="G7" s="13"/>
      <c r="H7" s="13">
        <v>5000</v>
      </c>
      <c r="I7" s="3"/>
      <c r="J7" s="6">
        <f t="shared" si="1"/>
        <v>14825</v>
      </c>
      <c r="K7" s="3" t="str">
        <f t="shared" si="0"/>
        <v>مقبول</v>
      </c>
      <c r="L7" s="11"/>
      <c r="M7" s="3"/>
      <c r="N7" s="3"/>
    </row>
    <row r="8" spans="1:14" x14ac:dyDescent="0.35">
      <c r="A8" s="3">
        <v>5</v>
      </c>
      <c r="B8" s="14">
        <v>46238</v>
      </c>
      <c r="C8" s="3"/>
      <c r="D8" s="3"/>
      <c r="E8" s="3" t="s">
        <v>67</v>
      </c>
      <c r="F8" s="3"/>
      <c r="G8" s="13">
        <v>4500</v>
      </c>
      <c r="H8" s="13"/>
      <c r="I8" s="3"/>
      <c r="J8" s="6">
        <f t="shared" si="1"/>
        <v>10325</v>
      </c>
      <c r="K8" s="3" t="str">
        <f t="shared" si="0"/>
        <v>مقبول</v>
      </c>
      <c r="L8" s="11"/>
      <c r="M8" s="3"/>
      <c r="N8" s="3"/>
    </row>
    <row r="9" spans="1:14" x14ac:dyDescent="0.35">
      <c r="A9" s="3">
        <v>6</v>
      </c>
      <c r="B9" s="14">
        <v>46238</v>
      </c>
      <c r="C9" s="3"/>
      <c r="D9" s="3"/>
      <c r="E9" s="3" t="s">
        <v>68</v>
      </c>
      <c r="F9" s="3"/>
      <c r="G9" s="13">
        <v>2500</v>
      </c>
      <c r="H9" s="13"/>
      <c r="I9" s="3"/>
      <c r="J9" s="6">
        <f t="shared" si="1"/>
        <v>7825</v>
      </c>
      <c r="K9" s="3" t="str">
        <f t="shared" si="0"/>
        <v>مقبول</v>
      </c>
      <c r="L9" s="11"/>
      <c r="M9" s="3"/>
      <c r="N9" s="3"/>
    </row>
    <row r="10" spans="1:14" x14ac:dyDescent="0.35">
      <c r="A10" s="3">
        <v>7</v>
      </c>
      <c r="B10" s="14">
        <v>46238</v>
      </c>
      <c r="C10" s="3"/>
      <c r="D10" s="3"/>
      <c r="E10" s="3" t="s">
        <v>69</v>
      </c>
      <c r="F10" s="3"/>
      <c r="G10" s="13">
        <v>5000</v>
      </c>
      <c r="H10" s="13"/>
      <c r="I10" s="3"/>
      <c r="J10" s="6">
        <f t="shared" si="1"/>
        <v>2825</v>
      </c>
      <c r="K10" s="3" t="str">
        <f t="shared" si="0"/>
        <v>مقبول</v>
      </c>
      <c r="L10" s="11"/>
      <c r="M10" s="3"/>
      <c r="N10" s="3"/>
    </row>
    <row r="11" spans="1:14" x14ac:dyDescent="0.35">
      <c r="A11" s="3">
        <v>8</v>
      </c>
      <c r="B11" s="14">
        <v>46239</v>
      </c>
      <c r="C11" s="3"/>
      <c r="D11" s="3"/>
      <c r="E11" s="3" t="s">
        <v>70</v>
      </c>
      <c r="F11" s="3"/>
      <c r="G11" s="13"/>
      <c r="H11" s="13">
        <v>120</v>
      </c>
      <c r="I11" s="3"/>
      <c r="J11" s="6">
        <f t="shared" si="1"/>
        <v>2945</v>
      </c>
      <c r="K11" s="3" t="str">
        <f t="shared" si="0"/>
        <v>مقبول</v>
      </c>
      <c r="L11" s="11"/>
      <c r="M11" s="3"/>
      <c r="N11" s="3"/>
    </row>
    <row r="12" spans="1:14" x14ac:dyDescent="0.35">
      <c r="A12" s="3">
        <v>9</v>
      </c>
      <c r="B12" s="14">
        <v>46239</v>
      </c>
      <c r="C12" s="3"/>
      <c r="D12" s="3"/>
      <c r="E12" s="3" t="s">
        <v>71</v>
      </c>
      <c r="F12" s="3"/>
      <c r="G12" s="13">
        <v>260</v>
      </c>
      <c r="H12" s="13"/>
      <c r="I12" s="3"/>
      <c r="J12" s="6">
        <f t="shared" si="1"/>
        <v>2685</v>
      </c>
      <c r="K12" s="3" t="str">
        <f t="shared" si="0"/>
        <v>مقبول</v>
      </c>
      <c r="L12" s="11"/>
      <c r="M12" s="3"/>
      <c r="N12" s="3"/>
    </row>
    <row r="13" spans="1:14" x14ac:dyDescent="0.35">
      <c r="A13" s="3">
        <v>10</v>
      </c>
      <c r="B13" s="14">
        <v>46239</v>
      </c>
      <c r="C13" s="3"/>
      <c r="D13" s="3"/>
      <c r="E13" s="3" t="s">
        <v>72</v>
      </c>
      <c r="F13" s="3"/>
      <c r="G13" s="13">
        <v>100</v>
      </c>
      <c r="H13" s="13"/>
      <c r="I13" s="3"/>
      <c r="J13" s="6">
        <f t="shared" si="1"/>
        <v>2585</v>
      </c>
      <c r="K13" s="3" t="str">
        <f t="shared" si="0"/>
        <v>مقبول</v>
      </c>
      <c r="L13" s="11"/>
      <c r="M13" s="3"/>
      <c r="N13" s="3"/>
    </row>
    <row r="14" spans="1:14" x14ac:dyDescent="0.35">
      <c r="A14" s="3">
        <v>11</v>
      </c>
      <c r="B14" s="14">
        <v>46239</v>
      </c>
      <c r="C14" s="3"/>
      <c r="D14" s="3"/>
      <c r="E14" s="11" t="s">
        <v>73</v>
      </c>
      <c r="F14" s="3"/>
      <c r="G14" s="13">
        <v>1350</v>
      </c>
      <c r="H14" s="13"/>
      <c r="I14" s="3"/>
      <c r="J14" s="6">
        <f t="shared" si="1"/>
        <v>1235</v>
      </c>
      <c r="K14" s="3" t="str">
        <f t="shared" si="0"/>
        <v>مقبول</v>
      </c>
      <c r="L14" s="11"/>
      <c r="M14" s="3"/>
      <c r="N14" s="3"/>
    </row>
    <row r="15" spans="1:14" x14ac:dyDescent="0.35">
      <c r="A15" s="3">
        <v>12</v>
      </c>
      <c r="B15" s="12">
        <v>46240</v>
      </c>
      <c r="C15" s="3"/>
      <c r="D15" s="3"/>
      <c r="E15" s="11" t="s">
        <v>74</v>
      </c>
      <c r="F15" s="3"/>
      <c r="G15" s="13"/>
      <c r="H15" s="13">
        <v>50000</v>
      </c>
      <c r="I15" s="3"/>
      <c r="J15" s="6">
        <f t="shared" si="1"/>
        <v>51235</v>
      </c>
      <c r="K15" s="3" t="str">
        <f t="shared" si="0"/>
        <v>مقبول</v>
      </c>
      <c r="L15" s="11"/>
      <c r="M15" s="3"/>
      <c r="N15" s="3"/>
    </row>
    <row r="16" spans="1:14" x14ac:dyDescent="0.35">
      <c r="A16" s="3">
        <v>13</v>
      </c>
      <c r="B16" s="12">
        <v>46240</v>
      </c>
      <c r="C16" s="3"/>
      <c r="D16" s="3"/>
      <c r="E16" s="11" t="s">
        <v>75</v>
      </c>
      <c r="F16" s="3"/>
      <c r="G16" s="13">
        <v>60</v>
      </c>
      <c r="H16" s="13"/>
      <c r="I16" s="3"/>
      <c r="J16" s="6">
        <f t="shared" si="1"/>
        <v>51175</v>
      </c>
      <c r="K16" s="3" t="str">
        <f t="shared" si="0"/>
        <v>مقبول</v>
      </c>
      <c r="L16" s="11"/>
      <c r="M16" s="3"/>
      <c r="N16" s="3"/>
    </row>
    <row r="17" spans="1:14" x14ac:dyDescent="0.35">
      <c r="A17" s="3">
        <v>14</v>
      </c>
      <c r="B17" s="12">
        <v>46240</v>
      </c>
      <c r="C17" s="3"/>
      <c r="D17" s="3"/>
      <c r="E17" s="11" t="s">
        <v>76</v>
      </c>
      <c r="F17" s="3"/>
      <c r="G17" s="13">
        <v>165</v>
      </c>
      <c r="H17" s="13"/>
      <c r="I17" s="3"/>
      <c r="J17" s="6">
        <f t="shared" si="1"/>
        <v>51010</v>
      </c>
      <c r="K17" s="3" t="str">
        <f t="shared" si="0"/>
        <v>مقبول</v>
      </c>
      <c r="L17" s="11"/>
      <c r="M17" s="3"/>
      <c r="N17" s="3"/>
    </row>
    <row r="18" spans="1:14" x14ac:dyDescent="0.35">
      <c r="A18" s="3">
        <v>15</v>
      </c>
      <c r="B18" s="12">
        <v>46240</v>
      </c>
      <c r="C18" s="3"/>
      <c r="D18" s="3"/>
      <c r="E18" s="11" t="s">
        <v>77</v>
      </c>
      <c r="F18" s="3"/>
      <c r="G18" s="13">
        <v>250</v>
      </c>
      <c r="H18" s="13"/>
      <c r="I18" s="3"/>
      <c r="J18" s="6">
        <f t="shared" si="1"/>
        <v>50760</v>
      </c>
      <c r="K18" s="3" t="str">
        <f t="shared" si="0"/>
        <v>مقبول</v>
      </c>
      <c r="L18" s="11"/>
      <c r="M18" s="3"/>
      <c r="N18" s="3"/>
    </row>
    <row r="19" spans="1:14" x14ac:dyDescent="0.35">
      <c r="A19" s="3">
        <v>16</v>
      </c>
      <c r="B19" s="12">
        <v>46240</v>
      </c>
      <c r="C19" s="3"/>
      <c r="D19" s="3"/>
      <c r="E19" s="11" t="s">
        <v>78</v>
      </c>
      <c r="F19" s="3"/>
      <c r="G19" s="13">
        <v>140</v>
      </c>
      <c r="H19" s="13"/>
      <c r="I19" s="3"/>
      <c r="J19" s="6">
        <f t="shared" si="1"/>
        <v>50620</v>
      </c>
      <c r="K19" s="3" t="str">
        <f t="shared" si="0"/>
        <v>مقبول</v>
      </c>
      <c r="L19" s="11"/>
      <c r="M19" s="3"/>
      <c r="N19" s="3"/>
    </row>
    <row r="20" spans="1:14" x14ac:dyDescent="0.35">
      <c r="A20" s="3">
        <v>17</v>
      </c>
      <c r="B20" s="12">
        <v>46240</v>
      </c>
      <c r="C20" s="3"/>
      <c r="D20" s="3"/>
      <c r="E20" s="11" t="s">
        <v>79</v>
      </c>
      <c r="F20" s="3"/>
      <c r="G20" s="13">
        <v>240</v>
      </c>
      <c r="H20" s="13"/>
      <c r="I20" s="3"/>
      <c r="J20" s="6">
        <f t="shared" si="1"/>
        <v>50380</v>
      </c>
      <c r="K20" s="3" t="str">
        <f t="shared" si="0"/>
        <v>مقبول</v>
      </c>
      <c r="L20" s="11"/>
      <c r="M20" s="3"/>
      <c r="N20" s="3"/>
    </row>
    <row r="21" spans="1:14" x14ac:dyDescent="0.35">
      <c r="A21" s="3">
        <v>18</v>
      </c>
      <c r="B21" s="12">
        <v>46240</v>
      </c>
      <c r="C21" s="3"/>
      <c r="D21" s="3"/>
      <c r="E21" s="11" t="s">
        <v>80</v>
      </c>
      <c r="F21" s="3"/>
      <c r="G21" s="13">
        <v>1500</v>
      </c>
      <c r="H21" s="13"/>
      <c r="I21" s="3"/>
      <c r="J21" s="6">
        <f t="shared" si="1"/>
        <v>48880</v>
      </c>
      <c r="K21" s="3" t="str">
        <f t="shared" si="0"/>
        <v>مقبول</v>
      </c>
      <c r="L21" s="11" t="s">
        <v>81</v>
      </c>
      <c r="M21" s="3"/>
      <c r="N21" s="3"/>
    </row>
    <row r="22" spans="1:14" x14ac:dyDescent="0.35">
      <c r="A22" s="3">
        <v>19</v>
      </c>
      <c r="B22" s="12">
        <v>46240</v>
      </c>
      <c r="C22" s="3"/>
      <c r="D22" s="3"/>
      <c r="E22" s="11" t="s">
        <v>82</v>
      </c>
      <c r="F22" s="3"/>
      <c r="G22" s="13">
        <v>55</v>
      </c>
      <c r="H22" s="13"/>
      <c r="I22" s="3"/>
      <c r="J22" s="6">
        <f t="shared" si="1"/>
        <v>48825</v>
      </c>
      <c r="K22" s="3" t="str">
        <f t="shared" si="0"/>
        <v>مقبول</v>
      </c>
      <c r="L22" s="11"/>
      <c r="M22" s="3"/>
      <c r="N22" s="3"/>
    </row>
    <row r="23" spans="1:14" x14ac:dyDescent="0.35">
      <c r="A23" s="3">
        <v>20</v>
      </c>
      <c r="B23" s="12">
        <v>46240</v>
      </c>
      <c r="C23" s="3"/>
      <c r="D23" s="3"/>
      <c r="E23" s="11" t="s">
        <v>83</v>
      </c>
      <c r="F23" s="3"/>
      <c r="G23" s="13">
        <v>2500</v>
      </c>
      <c r="H23" s="13"/>
      <c r="I23" s="3"/>
      <c r="J23" s="6">
        <f t="shared" si="1"/>
        <v>46325</v>
      </c>
      <c r="K23" s="3" t="str">
        <f t="shared" si="0"/>
        <v>مقبول</v>
      </c>
      <c r="L23" s="11"/>
      <c r="M23" s="3"/>
      <c r="N23" s="3"/>
    </row>
    <row r="24" spans="1:14" x14ac:dyDescent="0.35">
      <c r="A24" s="3">
        <v>21</v>
      </c>
      <c r="B24" s="12">
        <v>46240</v>
      </c>
      <c r="C24" s="3"/>
      <c r="D24" s="3"/>
      <c r="E24" s="11" t="s">
        <v>84</v>
      </c>
      <c r="F24" s="3"/>
      <c r="G24" s="13">
        <v>300</v>
      </c>
      <c r="H24" s="13"/>
      <c r="I24" s="3"/>
      <c r="J24" s="6">
        <f t="shared" si="1"/>
        <v>46025</v>
      </c>
      <c r="K24" s="3" t="str">
        <f t="shared" si="0"/>
        <v>مقبول</v>
      </c>
      <c r="L24" s="11"/>
      <c r="M24" s="3"/>
      <c r="N24" s="3"/>
    </row>
    <row r="25" spans="1:14" x14ac:dyDescent="0.35">
      <c r="A25" s="3">
        <v>22</v>
      </c>
      <c r="B25" s="12">
        <v>46241</v>
      </c>
      <c r="C25" s="3"/>
      <c r="D25" s="3"/>
      <c r="E25" s="11" t="s">
        <v>85</v>
      </c>
      <c r="F25" s="3"/>
      <c r="G25" s="13">
        <v>200</v>
      </c>
      <c r="H25" s="13"/>
      <c r="I25" s="3"/>
      <c r="J25" s="6">
        <f t="shared" si="1"/>
        <v>45825</v>
      </c>
      <c r="K25" s="3" t="str">
        <f t="shared" si="0"/>
        <v>مقبول</v>
      </c>
      <c r="L25" s="11"/>
      <c r="M25" s="3"/>
      <c r="N25" s="3"/>
    </row>
    <row r="26" spans="1:14" x14ac:dyDescent="0.35">
      <c r="A26" s="3">
        <v>23</v>
      </c>
      <c r="B26" s="12">
        <v>46242</v>
      </c>
      <c r="C26" s="3"/>
      <c r="D26" s="3"/>
      <c r="E26" s="11" t="s">
        <v>86</v>
      </c>
      <c r="F26" s="3"/>
      <c r="G26" s="13"/>
      <c r="H26" s="13">
        <v>8000</v>
      </c>
      <c r="I26" s="3"/>
      <c r="J26" s="6">
        <f t="shared" si="1"/>
        <v>53825</v>
      </c>
      <c r="K26" s="3" t="str">
        <f t="shared" si="0"/>
        <v>مقبول</v>
      </c>
      <c r="L26" s="11"/>
      <c r="M26" s="3"/>
      <c r="N26" s="3"/>
    </row>
    <row r="27" spans="1:14" x14ac:dyDescent="0.35">
      <c r="A27" s="3">
        <v>24</v>
      </c>
      <c r="B27" s="12">
        <v>46242</v>
      </c>
      <c r="C27" s="3"/>
      <c r="D27" s="3"/>
      <c r="E27" s="11" t="s">
        <v>87</v>
      </c>
      <c r="F27" s="3"/>
      <c r="G27" s="13">
        <v>21494</v>
      </c>
      <c r="H27" s="13"/>
      <c r="I27" s="3"/>
      <c r="J27" s="6">
        <f t="shared" si="1"/>
        <v>32331</v>
      </c>
      <c r="K27" s="3" t="str">
        <f t="shared" si="0"/>
        <v>مقبول</v>
      </c>
      <c r="L27" s="11"/>
      <c r="M27" s="3"/>
      <c r="N27" s="3"/>
    </row>
    <row r="28" spans="1:14" x14ac:dyDescent="0.35">
      <c r="A28" s="3">
        <v>25</v>
      </c>
      <c r="B28" s="12">
        <v>46242</v>
      </c>
      <c r="C28" s="3"/>
      <c r="D28" s="3"/>
      <c r="E28" s="11" t="s">
        <v>88</v>
      </c>
      <c r="F28" s="3"/>
      <c r="G28" s="13">
        <v>800</v>
      </c>
      <c r="H28" s="13"/>
      <c r="I28" s="3"/>
      <c r="J28" s="6">
        <f t="shared" si="1"/>
        <v>31531</v>
      </c>
      <c r="K28" s="3" t="str">
        <f t="shared" si="0"/>
        <v>مقبول</v>
      </c>
      <c r="L28" s="11"/>
      <c r="M28" s="3"/>
      <c r="N28" s="3"/>
    </row>
    <row r="29" spans="1:14" x14ac:dyDescent="0.35">
      <c r="A29" s="3">
        <v>26</v>
      </c>
      <c r="B29" s="12">
        <v>46242</v>
      </c>
      <c r="C29" s="3"/>
      <c r="D29" s="3"/>
      <c r="E29" s="11" t="s">
        <v>89</v>
      </c>
      <c r="F29" s="3"/>
      <c r="G29" s="13">
        <v>460</v>
      </c>
      <c r="H29" s="13"/>
      <c r="I29" s="3"/>
      <c r="J29" s="6">
        <f t="shared" si="1"/>
        <v>31071</v>
      </c>
      <c r="K29" s="3" t="str">
        <f t="shared" si="0"/>
        <v>مقبول</v>
      </c>
      <c r="L29" s="11"/>
      <c r="M29" s="3"/>
      <c r="N29" s="3"/>
    </row>
    <row r="30" spans="1:14" x14ac:dyDescent="0.35">
      <c r="A30" s="3">
        <v>27</v>
      </c>
      <c r="B30" s="12">
        <v>46242</v>
      </c>
      <c r="C30" s="3"/>
      <c r="D30" s="3"/>
      <c r="E30" s="11" t="s">
        <v>90</v>
      </c>
      <c r="F30" s="3"/>
      <c r="G30" s="13"/>
      <c r="H30" s="13">
        <v>2600</v>
      </c>
      <c r="I30" s="3"/>
      <c r="J30" s="6">
        <f t="shared" si="1"/>
        <v>33671</v>
      </c>
      <c r="K30" s="3" t="str">
        <f t="shared" si="0"/>
        <v>مقبول</v>
      </c>
      <c r="L30" s="11"/>
      <c r="M30" s="3"/>
      <c r="N30" s="3"/>
    </row>
    <row r="31" spans="1:14" x14ac:dyDescent="0.35">
      <c r="A31" s="3">
        <v>28</v>
      </c>
      <c r="B31" s="12">
        <v>46242</v>
      </c>
      <c r="C31" s="3"/>
      <c r="D31" s="3"/>
      <c r="E31" s="11" t="s">
        <v>91</v>
      </c>
      <c r="F31" s="3"/>
      <c r="G31" s="13"/>
      <c r="H31" s="13">
        <v>2300</v>
      </c>
      <c r="I31" s="3"/>
      <c r="J31" s="6">
        <f t="shared" si="1"/>
        <v>35971</v>
      </c>
      <c r="K31" s="3" t="str">
        <f t="shared" si="0"/>
        <v>مقبول</v>
      </c>
      <c r="L31" s="11"/>
      <c r="M31" s="3"/>
      <c r="N31" s="3"/>
    </row>
    <row r="32" spans="1:14" x14ac:dyDescent="0.35">
      <c r="A32" s="3">
        <v>29</v>
      </c>
      <c r="B32" s="12">
        <v>46242</v>
      </c>
      <c r="C32" s="3"/>
      <c r="D32" s="3"/>
      <c r="E32" s="11" t="s">
        <v>92</v>
      </c>
      <c r="F32" s="3"/>
      <c r="G32" s="13">
        <v>200</v>
      </c>
      <c r="H32" s="13"/>
      <c r="I32" s="3"/>
      <c r="J32" s="6">
        <f t="shared" si="1"/>
        <v>35771</v>
      </c>
      <c r="K32" s="3" t="str">
        <f t="shared" si="0"/>
        <v>مقبول</v>
      </c>
      <c r="L32" s="11"/>
      <c r="M32" s="3"/>
      <c r="N32" s="3"/>
    </row>
    <row r="33" spans="1:14" x14ac:dyDescent="0.35">
      <c r="A33" s="3">
        <v>30</v>
      </c>
      <c r="B33" s="12">
        <v>46242</v>
      </c>
      <c r="C33" s="3"/>
      <c r="D33" s="3"/>
      <c r="E33" s="11" t="s">
        <v>93</v>
      </c>
      <c r="F33" s="3"/>
      <c r="G33" s="13">
        <v>100</v>
      </c>
      <c r="H33" s="13"/>
      <c r="I33" s="3"/>
      <c r="J33" s="6">
        <f t="shared" si="1"/>
        <v>35671</v>
      </c>
      <c r="K33" s="3" t="str">
        <f t="shared" si="0"/>
        <v>مقبول</v>
      </c>
      <c r="L33" s="11"/>
      <c r="M33" s="3"/>
      <c r="N33" s="3"/>
    </row>
    <row r="34" spans="1:14" x14ac:dyDescent="0.35">
      <c r="A34" s="3">
        <v>31</v>
      </c>
      <c r="B34" s="12">
        <v>46242</v>
      </c>
      <c r="C34" s="3"/>
      <c r="D34" s="3"/>
      <c r="E34" s="11" t="s">
        <v>94</v>
      </c>
      <c r="F34" s="3"/>
      <c r="G34" s="13">
        <v>460</v>
      </c>
      <c r="H34" s="13"/>
      <c r="I34" s="3"/>
      <c r="J34" s="6">
        <f t="shared" si="1"/>
        <v>35211</v>
      </c>
      <c r="K34" s="3" t="str">
        <f t="shared" si="0"/>
        <v>مقبول</v>
      </c>
      <c r="L34" s="11"/>
      <c r="M34" s="3"/>
      <c r="N34" s="3"/>
    </row>
    <row r="35" spans="1:14" x14ac:dyDescent="0.35">
      <c r="A35" s="3">
        <v>32</v>
      </c>
      <c r="B35" s="14">
        <v>46243</v>
      </c>
      <c r="C35" s="3"/>
      <c r="D35" s="3"/>
      <c r="E35" s="3" t="s">
        <v>95</v>
      </c>
      <c r="F35" s="3"/>
      <c r="G35" s="13">
        <v>2000</v>
      </c>
      <c r="H35" s="13"/>
      <c r="I35" s="3"/>
      <c r="J35" s="6">
        <f t="shared" ref="J35:J98" si="2">J34-G35+H35</f>
        <v>33211</v>
      </c>
      <c r="K35" s="3" t="str">
        <f t="shared" ref="K35:K98" si="3">IF(J35&lt;200,"تنبيه: أعد التعبئة","مقبول")</f>
        <v>مقبول</v>
      </c>
      <c r="L35" s="11"/>
      <c r="M35" s="3"/>
      <c r="N35" s="3"/>
    </row>
    <row r="36" spans="1:14" x14ac:dyDescent="0.35">
      <c r="A36" s="3">
        <v>33</v>
      </c>
      <c r="B36" s="14">
        <v>46243</v>
      </c>
      <c r="C36" s="3"/>
      <c r="D36" s="3"/>
      <c r="E36" s="11" t="s">
        <v>96</v>
      </c>
      <c r="F36" s="3"/>
      <c r="G36" s="13">
        <v>200</v>
      </c>
      <c r="H36" s="13"/>
      <c r="I36" s="3"/>
      <c r="J36" s="6">
        <f t="shared" si="2"/>
        <v>33011</v>
      </c>
      <c r="K36" s="3" t="str">
        <f t="shared" si="3"/>
        <v>مقبول</v>
      </c>
      <c r="L36" s="11"/>
      <c r="M36" s="3"/>
      <c r="N36" s="3"/>
    </row>
    <row r="37" spans="1:14" x14ac:dyDescent="0.35">
      <c r="A37" s="3">
        <v>34</v>
      </c>
      <c r="B37" s="14">
        <v>46243</v>
      </c>
      <c r="C37" s="3"/>
      <c r="D37" s="3"/>
      <c r="E37" s="3" t="s">
        <v>97</v>
      </c>
      <c r="F37" s="3"/>
      <c r="G37" s="13">
        <v>140</v>
      </c>
      <c r="H37" s="13"/>
      <c r="I37" s="3"/>
      <c r="J37" s="6">
        <f t="shared" si="2"/>
        <v>32871</v>
      </c>
      <c r="K37" s="3" t="str">
        <f t="shared" si="3"/>
        <v>مقبول</v>
      </c>
      <c r="L37" s="11"/>
      <c r="M37" s="3"/>
      <c r="N37" s="3"/>
    </row>
    <row r="38" spans="1:14" x14ac:dyDescent="0.35">
      <c r="A38" s="3">
        <v>35</v>
      </c>
      <c r="B38" s="14">
        <v>46243</v>
      </c>
      <c r="C38" s="3"/>
      <c r="D38" s="3"/>
      <c r="E38" s="3" t="s">
        <v>98</v>
      </c>
      <c r="F38" s="3"/>
      <c r="G38" s="13">
        <v>60</v>
      </c>
      <c r="H38" s="13"/>
      <c r="I38" s="3"/>
      <c r="J38" s="6">
        <f t="shared" si="2"/>
        <v>32811</v>
      </c>
      <c r="K38" s="3" t="str">
        <f t="shared" si="3"/>
        <v>مقبول</v>
      </c>
      <c r="L38" s="11"/>
      <c r="M38" s="3"/>
      <c r="N38" s="3"/>
    </row>
    <row r="39" spans="1:14" x14ac:dyDescent="0.35">
      <c r="A39" s="3">
        <v>36</v>
      </c>
      <c r="B39" s="14">
        <v>46244</v>
      </c>
      <c r="C39" s="3"/>
      <c r="D39" s="3"/>
      <c r="E39" s="3" t="s">
        <v>99</v>
      </c>
      <c r="F39" s="3"/>
      <c r="G39" s="13">
        <v>32241</v>
      </c>
      <c r="H39" s="13"/>
      <c r="I39" s="3"/>
      <c r="J39" s="6">
        <f t="shared" si="2"/>
        <v>570</v>
      </c>
      <c r="K39" s="3" t="str">
        <f t="shared" si="3"/>
        <v>مقبول</v>
      </c>
      <c r="L39" s="11"/>
      <c r="M39" s="3"/>
      <c r="N39" s="3"/>
    </row>
    <row r="40" spans="1:14" x14ac:dyDescent="0.35">
      <c r="A40" s="3">
        <v>37</v>
      </c>
      <c r="B40" s="14">
        <v>46244</v>
      </c>
      <c r="C40" s="3"/>
      <c r="D40" s="3"/>
      <c r="E40" s="3" t="s">
        <v>100</v>
      </c>
      <c r="F40" s="3"/>
      <c r="G40" s="13"/>
      <c r="H40" s="13">
        <v>7000</v>
      </c>
      <c r="I40" s="3"/>
      <c r="J40" s="6">
        <f t="shared" si="2"/>
        <v>7570</v>
      </c>
      <c r="K40" s="3" t="str">
        <f t="shared" si="3"/>
        <v>مقبول</v>
      </c>
      <c r="L40" s="11"/>
      <c r="M40" s="3"/>
      <c r="N40" s="3"/>
    </row>
    <row r="41" spans="1:14" x14ac:dyDescent="0.35">
      <c r="A41" s="3">
        <v>38</v>
      </c>
      <c r="B41" s="14">
        <v>46244</v>
      </c>
      <c r="C41" s="3"/>
      <c r="D41" s="3"/>
      <c r="E41" s="3" t="s">
        <v>101</v>
      </c>
      <c r="F41" s="3"/>
      <c r="G41" s="13">
        <v>700</v>
      </c>
      <c r="H41" s="13"/>
      <c r="I41" s="3"/>
      <c r="J41" s="6">
        <f t="shared" si="2"/>
        <v>6870</v>
      </c>
      <c r="K41" s="3" t="str">
        <f t="shared" si="3"/>
        <v>مقبول</v>
      </c>
      <c r="L41" s="11"/>
      <c r="M41" s="3"/>
      <c r="N41" s="3"/>
    </row>
    <row r="42" spans="1:14" x14ac:dyDescent="0.35">
      <c r="A42" s="3">
        <v>39</v>
      </c>
      <c r="B42" s="14">
        <v>46244</v>
      </c>
      <c r="C42" s="3"/>
      <c r="D42" s="3"/>
      <c r="E42" s="3" t="s">
        <v>102</v>
      </c>
      <c r="F42" s="3"/>
      <c r="G42" s="13"/>
      <c r="H42" s="13">
        <v>1200</v>
      </c>
      <c r="I42" s="3"/>
      <c r="J42" s="6">
        <f t="shared" si="2"/>
        <v>8070</v>
      </c>
      <c r="K42" s="3" t="str">
        <f t="shared" si="3"/>
        <v>مقبول</v>
      </c>
      <c r="L42" s="11"/>
      <c r="M42" s="3"/>
      <c r="N42" s="3"/>
    </row>
    <row r="43" spans="1:14" x14ac:dyDescent="0.35">
      <c r="A43" s="3">
        <v>40</v>
      </c>
      <c r="B43" s="14">
        <v>46244</v>
      </c>
      <c r="C43" s="3"/>
      <c r="D43" s="3"/>
      <c r="E43" s="3" t="s">
        <v>103</v>
      </c>
      <c r="F43" s="3"/>
      <c r="G43" s="13">
        <v>200</v>
      </c>
      <c r="H43" s="13"/>
      <c r="I43" s="3"/>
      <c r="J43" s="6">
        <f t="shared" si="2"/>
        <v>7870</v>
      </c>
      <c r="K43" s="3" t="str">
        <f t="shared" si="3"/>
        <v>مقبول</v>
      </c>
      <c r="L43" s="11"/>
      <c r="M43" s="3"/>
      <c r="N43" s="3"/>
    </row>
    <row r="44" spans="1:14" x14ac:dyDescent="0.35">
      <c r="A44" s="3">
        <v>41</v>
      </c>
      <c r="B44" s="14">
        <v>46245</v>
      </c>
      <c r="C44" s="3"/>
      <c r="D44" s="3"/>
      <c r="E44" s="11" t="s">
        <v>104</v>
      </c>
      <c r="F44" s="3"/>
      <c r="G44" s="13">
        <v>765</v>
      </c>
      <c r="H44" s="13"/>
      <c r="I44" s="3"/>
      <c r="J44" s="6">
        <f t="shared" si="2"/>
        <v>7105</v>
      </c>
      <c r="K44" s="3" t="str">
        <f t="shared" si="3"/>
        <v>مقبول</v>
      </c>
      <c r="L44" s="11"/>
      <c r="M44" s="3"/>
      <c r="N44" s="3"/>
    </row>
    <row r="45" spans="1:14" x14ac:dyDescent="0.35">
      <c r="A45" s="3">
        <v>42</v>
      </c>
      <c r="B45" s="14">
        <v>46245</v>
      </c>
      <c r="C45" s="3"/>
      <c r="D45" s="3"/>
      <c r="E45" s="11" t="s">
        <v>105</v>
      </c>
      <c r="F45" s="3"/>
      <c r="G45" s="13">
        <v>100</v>
      </c>
      <c r="H45" s="13"/>
      <c r="I45" s="3"/>
      <c r="J45" s="6">
        <f t="shared" si="2"/>
        <v>7005</v>
      </c>
      <c r="K45" s="3" t="str">
        <f t="shared" si="3"/>
        <v>مقبول</v>
      </c>
      <c r="L45" s="11"/>
      <c r="M45" s="3"/>
      <c r="N45" s="3"/>
    </row>
    <row r="46" spans="1:14" x14ac:dyDescent="0.35">
      <c r="A46" s="3">
        <v>43</v>
      </c>
      <c r="B46" s="14">
        <v>46246</v>
      </c>
      <c r="C46" s="3"/>
      <c r="D46" s="3"/>
      <c r="E46" s="11" t="s">
        <v>106</v>
      </c>
      <c r="F46" s="3"/>
      <c r="G46" s="13">
        <v>480</v>
      </c>
      <c r="H46" s="13"/>
      <c r="I46" s="3"/>
      <c r="J46" s="6">
        <f t="shared" si="2"/>
        <v>6525</v>
      </c>
      <c r="K46" s="3" t="str">
        <f t="shared" si="3"/>
        <v>مقبول</v>
      </c>
      <c r="L46" s="11"/>
      <c r="M46" s="3"/>
      <c r="N46" s="3"/>
    </row>
    <row r="47" spans="1:14" x14ac:dyDescent="0.35">
      <c r="A47" s="3">
        <v>44</v>
      </c>
      <c r="B47" s="14">
        <v>46246</v>
      </c>
      <c r="C47" s="3"/>
      <c r="D47" s="3"/>
      <c r="E47" s="11" t="s">
        <v>107</v>
      </c>
      <c r="F47" s="3"/>
      <c r="G47" s="13">
        <v>200</v>
      </c>
      <c r="H47" s="13"/>
      <c r="I47" s="3"/>
      <c r="J47" s="6">
        <f t="shared" si="2"/>
        <v>6325</v>
      </c>
      <c r="K47" s="3" t="str">
        <f t="shared" si="3"/>
        <v>مقبول</v>
      </c>
      <c r="L47" s="11" t="s">
        <v>108</v>
      </c>
      <c r="M47" s="3"/>
      <c r="N47" s="3"/>
    </row>
    <row r="48" spans="1:14" x14ac:dyDescent="0.35">
      <c r="A48" s="3">
        <v>45</v>
      </c>
      <c r="B48" s="14">
        <v>46246</v>
      </c>
      <c r="C48" s="3"/>
      <c r="D48" s="3"/>
      <c r="E48" s="11" t="s">
        <v>109</v>
      </c>
      <c r="F48" s="3"/>
      <c r="G48" s="13">
        <v>6830</v>
      </c>
      <c r="H48" s="13"/>
      <c r="I48" s="3"/>
      <c r="J48" s="6">
        <f t="shared" si="2"/>
        <v>-505</v>
      </c>
      <c r="K48" s="3" t="str">
        <f t="shared" si="3"/>
        <v>تنبيه: أعد التعبئة</v>
      </c>
      <c r="L48" s="3" t="s">
        <v>110</v>
      </c>
      <c r="M48" s="3"/>
      <c r="N48" s="3"/>
    </row>
    <row r="49" spans="1:14" x14ac:dyDescent="0.35">
      <c r="A49" s="3">
        <v>46</v>
      </c>
      <c r="B49" s="14">
        <v>46246</v>
      </c>
      <c r="C49" s="3"/>
      <c r="D49" s="3"/>
      <c r="E49" s="11" t="s">
        <v>111</v>
      </c>
      <c r="F49" s="3"/>
      <c r="G49" s="13"/>
      <c r="H49" s="13">
        <v>215</v>
      </c>
      <c r="I49" s="3"/>
      <c r="J49" s="6">
        <f t="shared" si="2"/>
        <v>-290</v>
      </c>
      <c r="K49" s="3" t="str">
        <f t="shared" si="3"/>
        <v>تنبيه: أعد التعبئة</v>
      </c>
      <c r="L49" s="11"/>
      <c r="M49" s="3"/>
      <c r="N49" s="3"/>
    </row>
    <row r="50" spans="1:14" x14ac:dyDescent="0.35">
      <c r="A50" s="3">
        <v>47</v>
      </c>
      <c r="B50" s="14">
        <v>46246</v>
      </c>
      <c r="C50" s="3"/>
      <c r="D50" s="3"/>
      <c r="E50" s="11" t="s">
        <v>112</v>
      </c>
      <c r="F50" s="3"/>
      <c r="G50" s="13"/>
      <c r="H50" s="13">
        <v>260</v>
      </c>
      <c r="I50" s="3"/>
      <c r="J50" s="6">
        <f t="shared" si="2"/>
        <v>-30</v>
      </c>
      <c r="K50" s="3" t="str">
        <f t="shared" si="3"/>
        <v>تنبيه: أعد التعبئة</v>
      </c>
      <c r="L50" s="11"/>
      <c r="M50" s="3"/>
      <c r="N50" s="3"/>
    </row>
    <row r="51" spans="1:14" x14ac:dyDescent="0.35">
      <c r="A51" s="3">
        <v>48</v>
      </c>
      <c r="B51" s="14">
        <v>46246</v>
      </c>
      <c r="C51" s="3"/>
      <c r="D51" s="3"/>
      <c r="E51" s="11" t="s">
        <v>113</v>
      </c>
      <c r="F51" s="3"/>
      <c r="G51" s="13">
        <v>5250</v>
      </c>
      <c r="H51" s="13"/>
      <c r="I51" s="3"/>
      <c r="J51" s="6">
        <f t="shared" si="2"/>
        <v>-5280</v>
      </c>
      <c r="K51" s="3" t="str">
        <f t="shared" si="3"/>
        <v>تنبيه: أعد التعبئة</v>
      </c>
      <c r="L51" s="11" t="s">
        <v>114</v>
      </c>
      <c r="M51" s="3"/>
      <c r="N51" s="3"/>
    </row>
    <row r="52" spans="1:14" x14ac:dyDescent="0.35">
      <c r="A52" s="3">
        <v>49</v>
      </c>
      <c r="B52" s="14">
        <v>46246</v>
      </c>
      <c r="C52" s="3"/>
      <c r="D52" s="3"/>
      <c r="E52" s="11" t="s">
        <v>115</v>
      </c>
      <c r="F52" s="3"/>
      <c r="G52" s="13">
        <v>5300</v>
      </c>
      <c r="H52" s="13"/>
      <c r="I52" s="3"/>
      <c r="J52" s="6">
        <f t="shared" si="2"/>
        <v>-10580</v>
      </c>
      <c r="K52" s="3" t="str">
        <f t="shared" si="3"/>
        <v>تنبيه: أعد التعبئة</v>
      </c>
      <c r="L52" s="11" t="s">
        <v>114</v>
      </c>
      <c r="M52" s="3"/>
      <c r="N52" s="3"/>
    </row>
    <row r="53" spans="1:14" x14ac:dyDescent="0.35">
      <c r="A53" s="3">
        <v>50</v>
      </c>
      <c r="B53" s="14">
        <v>46246</v>
      </c>
      <c r="C53" s="3"/>
      <c r="D53" s="3"/>
      <c r="E53" s="11" t="s">
        <v>116</v>
      </c>
      <c r="F53" s="3"/>
      <c r="G53" s="13"/>
      <c r="H53" s="13">
        <v>10550</v>
      </c>
      <c r="I53" s="3"/>
      <c r="J53" s="6">
        <f t="shared" si="2"/>
        <v>-30</v>
      </c>
      <c r="K53" s="3" t="str">
        <f t="shared" si="3"/>
        <v>تنبيه: أعد التعبئة</v>
      </c>
      <c r="L53" s="11" t="s">
        <v>117</v>
      </c>
      <c r="M53" s="3"/>
      <c r="N53" s="3"/>
    </row>
    <row r="54" spans="1:14" x14ac:dyDescent="0.35">
      <c r="A54" s="3">
        <v>51</v>
      </c>
      <c r="B54" s="14">
        <v>46246</v>
      </c>
      <c r="C54" s="3"/>
      <c r="D54" s="3"/>
      <c r="E54" s="11" t="s">
        <v>118</v>
      </c>
      <c r="F54" s="3"/>
      <c r="G54" s="13">
        <v>100</v>
      </c>
      <c r="H54" s="13"/>
      <c r="I54" s="3"/>
      <c r="J54" s="6">
        <f t="shared" si="2"/>
        <v>-130</v>
      </c>
      <c r="K54" s="3" t="str">
        <f t="shared" si="3"/>
        <v>تنبيه: أعد التعبئة</v>
      </c>
      <c r="L54" s="11"/>
      <c r="M54" s="3"/>
      <c r="N54" s="3"/>
    </row>
    <row r="55" spans="1:14" x14ac:dyDescent="0.35">
      <c r="A55" s="3">
        <v>52</v>
      </c>
      <c r="B55" s="14">
        <v>46246</v>
      </c>
      <c r="C55" s="3"/>
      <c r="D55" s="3"/>
      <c r="E55" s="11" t="s">
        <v>105</v>
      </c>
      <c r="F55" s="3"/>
      <c r="G55" s="13">
        <v>200</v>
      </c>
      <c r="H55" s="13"/>
      <c r="I55" s="3"/>
      <c r="J55" s="6">
        <f t="shared" si="2"/>
        <v>-330</v>
      </c>
      <c r="K55" s="3" t="str">
        <f t="shared" si="3"/>
        <v>تنبيه: أعد التعبئة</v>
      </c>
      <c r="L55" s="11"/>
      <c r="M55" s="3"/>
      <c r="N55" s="3"/>
    </row>
    <row r="56" spans="1:14" x14ac:dyDescent="0.35">
      <c r="A56" s="3">
        <v>53</v>
      </c>
      <c r="B56" s="14">
        <v>46246</v>
      </c>
      <c r="C56" s="3"/>
      <c r="D56" s="3"/>
      <c r="E56" s="11" t="s">
        <v>119</v>
      </c>
      <c r="F56" s="3"/>
      <c r="G56" s="13">
        <v>270</v>
      </c>
      <c r="H56" s="13"/>
      <c r="I56" s="3"/>
      <c r="J56" s="6">
        <f t="shared" si="2"/>
        <v>-600</v>
      </c>
      <c r="K56" s="3" t="str">
        <f t="shared" si="3"/>
        <v>تنبيه: أعد التعبئة</v>
      </c>
      <c r="L56" s="11"/>
      <c r="M56" s="3"/>
      <c r="N56" s="3"/>
    </row>
    <row r="57" spans="1:14" x14ac:dyDescent="0.35">
      <c r="A57" s="3">
        <v>54</v>
      </c>
      <c r="B57" s="14">
        <v>46246</v>
      </c>
      <c r="C57" s="3"/>
      <c r="D57" s="3"/>
      <c r="E57" s="11" t="s">
        <v>120</v>
      </c>
      <c r="F57" s="3"/>
      <c r="G57" s="13">
        <v>70</v>
      </c>
      <c r="H57" s="13"/>
      <c r="I57" s="3"/>
      <c r="J57" s="6">
        <f t="shared" si="2"/>
        <v>-670</v>
      </c>
      <c r="K57" s="3" t="str">
        <f t="shared" si="3"/>
        <v>تنبيه: أعد التعبئة</v>
      </c>
      <c r="L57" s="11"/>
      <c r="M57" s="3"/>
      <c r="N57" s="3"/>
    </row>
    <row r="58" spans="1:14" x14ac:dyDescent="0.35">
      <c r="A58" s="3">
        <v>55</v>
      </c>
      <c r="B58" s="14">
        <v>46246</v>
      </c>
      <c r="C58" s="3"/>
      <c r="D58" s="3"/>
      <c r="E58" s="11" t="s">
        <v>121</v>
      </c>
      <c r="F58" s="3"/>
      <c r="G58" s="13">
        <v>65</v>
      </c>
      <c r="H58" s="13"/>
      <c r="I58" s="3"/>
      <c r="J58" s="6">
        <f t="shared" si="2"/>
        <v>-735</v>
      </c>
      <c r="K58" s="3" t="str">
        <f t="shared" si="3"/>
        <v>تنبيه: أعد التعبئة</v>
      </c>
      <c r="L58" s="11"/>
      <c r="M58" s="3"/>
      <c r="N58" s="3"/>
    </row>
    <row r="59" spans="1:14" x14ac:dyDescent="0.35">
      <c r="A59" s="3">
        <v>56</v>
      </c>
      <c r="B59" s="14">
        <v>46247</v>
      </c>
      <c r="C59" s="3"/>
      <c r="D59" s="3"/>
      <c r="E59" s="11" t="s">
        <v>122</v>
      </c>
      <c r="F59" s="3"/>
      <c r="G59" s="13"/>
      <c r="H59" s="13">
        <v>50170</v>
      </c>
      <c r="I59" s="3"/>
      <c r="J59" s="6">
        <f t="shared" si="2"/>
        <v>49435</v>
      </c>
      <c r="K59" s="3" t="str">
        <f t="shared" si="3"/>
        <v>مقبول</v>
      </c>
      <c r="L59" s="11" t="s">
        <v>123</v>
      </c>
      <c r="M59" s="3"/>
      <c r="N59" s="3"/>
    </row>
    <row r="60" spans="1:14" x14ac:dyDescent="0.35">
      <c r="A60" s="3">
        <v>57</v>
      </c>
      <c r="B60" s="14">
        <v>46248</v>
      </c>
      <c r="C60" s="3"/>
      <c r="D60" s="3"/>
      <c r="E60" s="11" t="s">
        <v>124</v>
      </c>
      <c r="F60" s="3"/>
      <c r="G60" s="13">
        <v>17305</v>
      </c>
      <c r="H60" s="13"/>
      <c r="I60" s="3"/>
      <c r="J60" s="6">
        <f t="shared" si="2"/>
        <v>32130</v>
      </c>
      <c r="K60" s="3" t="str">
        <f t="shared" si="3"/>
        <v>مقبول</v>
      </c>
      <c r="L60" s="11"/>
      <c r="M60" s="3"/>
      <c r="N60" s="3"/>
    </row>
    <row r="61" spans="1:14" x14ac:dyDescent="0.35">
      <c r="A61" s="3">
        <v>58</v>
      </c>
      <c r="B61" s="14">
        <v>46247</v>
      </c>
      <c r="C61" s="3"/>
      <c r="D61" s="3"/>
      <c r="E61" s="11" t="s">
        <v>125</v>
      </c>
      <c r="F61" s="3"/>
      <c r="G61" s="13">
        <v>1000</v>
      </c>
      <c r="H61" s="13"/>
      <c r="I61" s="3"/>
      <c r="J61" s="6">
        <f t="shared" si="2"/>
        <v>31130</v>
      </c>
      <c r="K61" s="3" t="str">
        <f t="shared" si="3"/>
        <v>مقبول</v>
      </c>
      <c r="L61" s="11"/>
      <c r="M61" s="3"/>
      <c r="N61" s="3"/>
    </row>
    <row r="62" spans="1:14" x14ac:dyDescent="0.35">
      <c r="A62" s="3">
        <v>59</v>
      </c>
      <c r="B62" s="14">
        <v>46248</v>
      </c>
      <c r="C62" s="3"/>
      <c r="D62" s="3"/>
      <c r="E62" s="11" t="s">
        <v>126</v>
      </c>
      <c r="F62" s="3"/>
      <c r="G62" s="13">
        <v>500</v>
      </c>
      <c r="H62" s="13"/>
      <c r="I62" s="3"/>
      <c r="J62" s="6">
        <f t="shared" si="2"/>
        <v>30630</v>
      </c>
      <c r="K62" s="3" t="str">
        <f t="shared" si="3"/>
        <v>مقبول</v>
      </c>
      <c r="L62" s="11"/>
      <c r="M62" s="3"/>
      <c r="N62" s="3"/>
    </row>
    <row r="63" spans="1:14" x14ac:dyDescent="0.35">
      <c r="A63" s="3">
        <v>60</v>
      </c>
      <c r="B63" s="12"/>
      <c r="C63" s="3"/>
      <c r="D63" s="3"/>
      <c r="E63" s="11" t="s">
        <v>127</v>
      </c>
      <c r="F63" s="3"/>
      <c r="G63" s="13">
        <v>3900</v>
      </c>
      <c r="H63" s="13"/>
      <c r="I63" s="3"/>
      <c r="J63" s="6">
        <f t="shared" si="2"/>
        <v>26730</v>
      </c>
      <c r="K63" s="3" t="str">
        <f t="shared" si="3"/>
        <v>مقبول</v>
      </c>
      <c r="L63" s="11"/>
      <c r="M63" s="3"/>
      <c r="N63" s="3"/>
    </row>
    <row r="64" spans="1:14" x14ac:dyDescent="0.35">
      <c r="A64" s="3">
        <v>61</v>
      </c>
      <c r="B64" s="14">
        <v>46247</v>
      </c>
      <c r="C64" s="3"/>
      <c r="D64" s="3"/>
      <c r="E64" s="3" t="s">
        <v>128</v>
      </c>
      <c r="F64" s="3"/>
      <c r="G64" s="13">
        <v>410</v>
      </c>
      <c r="H64" s="13"/>
      <c r="I64" s="3"/>
      <c r="J64" s="6">
        <f t="shared" si="2"/>
        <v>26320</v>
      </c>
      <c r="K64" s="3" t="str">
        <f t="shared" si="3"/>
        <v>مقبول</v>
      </c>
      <c r="L64" s="11"/>
      <c r="M64" s="3"/>
      <c r="N64" s="3"/>
    </row>
    <row r="65" spans="1:14" x14ac:dyDescent="0.35">
      <c r="A65" s="3">
        <v>62</v>
      </c>
      <c r="B65" s="14">
        <v>46247</v>
      </c>
      <c r="C65" s="3"/>
      <c r="D65" s="3"/>
      <c r="E65" s="11" t="s">
        <v>129</v>
      </c>
      <c r="F65" s="3"/>
      <c r="G65" s="13">
        <v>85</v>
      </c>
      <c r="H65" s="13"/>
      <c r="I65" s="3"/>
      <c r="J65" s="6">
        <f t="shared" si="2"/>
        <v>26235</v>
      </c>
      <c r="K65" s="3" t="str">
        <f t="shared" si="3"/>
        <v>مقبول</v>
      </c>
      <c r="L65" s="11"/>
      <c r="M65" s="3"/>
      <c r="N65" s="3"/>
    </row>
    <row r="66" spans="1:14" x14ac:dyDescent="0.35">
      <c r="A66" s="3">
        <v>63</v>
      </c>
      <c r="B66" s="14">
        <v>46248</v>
      </c>
      <c r="C66" s="3"/>
      <c r="D66" s="3"/>
      <c r="E66" s="3" t="s">
        <v>130</v>
      </c>
      <c r="F66" s="3"/>
      <c r="G66" s="13">
        <v>200</v>
      </c>
      <c r="H66" s="13"/>
      <c r="I66" s="3"/>
      <c r="J66" s="6">
        <f t="shared" si="2"/>
        <v>26035</v>
      </c>
      <c r="K66" s="3" t="str">
        <f t="shared" si="3"/>
        <v>مقبول</v>
      </c>
      <c r="L66" s="11"/>
      <c r="M66" s="3"/>
      <c r="N66" s="3"/>
    </row>
    <row r="67" spans="1:14" x14ac:dyDescent="0.35">
      <c r="A67" s="3">
        <v>64</v>
      </c>
      <c r="B67" s="14">
        <v>46248</v>
      </c>
      <c r="C67" s="3"/>
      <c r="D67" s="3"/>
      <c r="E67" s="3" t="s">
        <v>131</v>
      </c>
      <c r="F67" s="3"/>
      <c r="G67" s="13">
        <v>1000</v>
      </c>
      <c r="H67" s="13"/>
      <c r="I67" s="3"/>
      <c r="J67" s="6">
        <f t="shared" si="2"/>
        <v>25035</v>
      </c>
      <c r="K67" s="3" t="str">
        <f t="shared" si="3"/>
        <v>مقبول</v>
      </c>
      <c r="L67" s="11" t="s">
        <v>132</v>
      </c>
      <c r="M67" s="3"/>
      <c r="N67" s="3"/>
    </row>
    <row r="68" spans="1:14" x14ac:dyDescent="0.35">
      <c r="A68" s="3">
        <v>65</v>
      </c>
      <c r="B68" s="14">
        <v>46248</v>
      </c>
      <c r="C68" s="3"/>
      <c r="D68" s="3"/>
      <c r="E68" s="3" t="s">
        <v>133</v>
      </c>
      <c r="F68" s="3"/>
      <c r="G68" s="13">
        <v>350</v>
      </c>
      <c r="H68" s="13"/>
      <c r="I68" s="3"/>
      <c r="J68" s="6">
        <f t="shared" si="2"/>
        <v>24685</v>
      </c>
      <c r="K68" s="3" t="str">
        <f t="shared" si="3"/>
        <v>مقبول</v>
      </c>
      <c r="L68" s="11"/>
      <c r="M68" s="3"/>
      <c r="N68" s="3"/>
    </row>
    <row r="69" spans="1:14" x14ac:dyDescent="0.35">
      <c r="A69" s="3">
        <v>66</v>
      </c>
      <c r="B69" s="14">
        <v>46248</v>
      </c>
      <c r="C69" s="3"/>
      <c r="D69" s="3"/>
      <c r="E69" s="3" t="s">
        <v>134</v>
      </c>
      <c r="F69" s="3"/>
      <c r="G69" s="13">
        <v>2500</v>
      </c>
      <c r="H69" s="13"/>
      <c r="I69" s="3"/>
      <c r="J69" s="6">
        <f t="shared" si="2"/>
        <v>22185</v>
      </c>
      <c r="K69" s="3" t="str">
        <f t="shared" si="3"/>
        <v>مقبول</v>
      </c>
      <c r="L69" s="11" t="s">
        <v>135</v>
      </c>
      <c r="M69" s="3"/>
      <c r="N69" s="3"/>
    </row>
    <row r="70" spans="1:14" x14ac:dyDescent="0.35">
      <c r="A70" s="3">
        <v>67</v>
      </c>
      <c r="B70" s="14">
        <v>46248</v>
      </c>
      <c r="C70" s="3"/>
      <c r="D70" s="3"/>
      <c r="E70" s="3" t="s">
        <v>136</v>
      </c>
      <c r="F70" s="3"/>
      <c r="G70" s="13">
        <v>1000</v>
      </c>
      <c r="H70" s="13"/>
      <c r="I70" s="3"/>
      <c r="J70" s="6">
        <f t="shared" si="2"/>
        <v>21185</v>
      </c>
      <c r="K70" s="3" t="str">
        <f t="shared" si="3"/>
        <v>مقبول</v>
      </c>
      <c r="L70" s="11" t="s">
        <v>137</v>
      </c>
      <c r="M70" s="3"/>
      <c r="N70" s="3"/>
    </row>
    <row r="71" spans="1:14" x14ac:dyDescent="0.35">
      <c r="A71" s="3">
        <v>68</v>
      </c>
      <c r="B71" s="14">
        <v>46249</v>
      </c>
      <c r="C71" s="3"/>
      <c r="D71" s="3"/>
      <c r="E71" s="3" t="s">
        <v>138</v>
      </c>
      <c r="F71" s="3"/>
      <c r="G71" s="13">
        <v>650</v>
      </c>
      <c r="H71" s="13"/>
      <c r="I71" s="3"/>
      <c r="J71" s="6">
        <f t="shared" si="2"/>
        <v>20535</v>
      </c>
      <c r="K71" s="3" t="str">
        <f t="shared" si="3"/>
        <v>مقبول</v>
      </c>
      <c r="L71" s="11"/>
      <c r="M71" s="3"/>
      <c r="N71" s="3"/>
    </row>
    <row r="72" spans="1:14" x14ac:dyDescent="0.35">
      <c r="A72" s="3">
        <v>69</v>
      </c>
      <c r="B72" s="14">
        <v>46250</v>
      </c>
      <c r="C72" s="3"/>
      <c r="D72" s="3"/>
      <c r="E72" s="3" t="s">
        <v>139</v>
      </c>
      <c r="F72" s="3"/>
      <c r="G72" s="13"/>
      <c r="H72" s="13">
        <v>120000</v>
      </c>
      <c r="I72" s="3"/>
      <c r="J72" s="6">
        <f t="shared" si="2"/>
        <v>140535</v>
      </c>
      <c r="K72" s="3" t="str">
        <f t="shared" si="3"/>
        <v>مقبول</v>
      </c>
      <c r="L72" s="11"/>
      <c r="M72" s="3"/>
      <c r="N72" s="3"/>
    </row>
    <row r="73" spans="1:14" x14ac:dyDescent="0.35">
      <c r="A73" s="3">
        <v>70</v>
      </c>
      <c r="B73" s="14">
        <v>46250</v>
      </c>
      <c r="C73" s="3"/>
      <c r="D73" s="3"/>
      <c r="E73" s="11" t="s">
        <v>140</v>
      </c>
      <c r="F73" s="3"/>
      <c r="G73" s="13"/>
      <c r="H73" s="13">
        <v>130520</v>
      </c>
      <c r="I73" s="3"/>
      <c r="J73" s="6">
        <f t="shared" si="2"/>
        <v>271055</v>
      </c>
      <c r="K73" s="3" t="str">
        <f t="shared" si="3"/>
        <v>مقبول</v>
      </c>
      <c r="L73" s="11"/>
      <c r="M73" s="3"/>
      <c r="N73" s="3"/>
    </row>
    <row r="74" spans="1:14" x14ac:dyDescent="0.35">
      <c r="A74" s="3">
        <v>71</v>
      </c>
      <c r="B74" s="14">
        <v>46250</v>
      </c>
      <c r="C74" s="3"/>
      <c r="D74" s="3"/>
      <c r="E74" s="11" t="s">
        <v>141</v>
      </c>
      <c r="F74" s="3"/>
      <c r="G74" s="13">
        <v>270</v>
      </c>
      <c r="H74" s="13"/>
      <c r="I74" s="3"/>
      <c r="J74" s="6">
        <f t="shared" si="2"/>
        <v>270785</v>
      </c>
      <c r="K74" s="3" t="str">
        <f t="shared" si="3"/>
        <v>مقبول</v>
      </c>
      <c r="L74" s="11"/>
      <c r="M74" s="3"/>
      <c r="N74" s="3"/>
    </row>
    <row r="75" spans="1:14" x14ac:dyDescent="0.35">
      <c r="A75" s="3">
        <v>72</v>
      </c>
      <c r="B75" s="14">
        <v>46251</v>
      </c>
      <c r="C75" s="3"/>
      <c r="D75" s="3"/>
      <c r="E75" s="11" t="s">
        <v>142</v>
      </c>
      <c r="F75" s="3"/>
      <c r="G75" s="13"/>
      <c r="H75" s="13">
        <v>2000</v>
      </c>
      <c r="I75" s="3"/>
      <c r="J75" s="6">
        <f t="shared" si="2"/>
        <v>272785</v>
      </c>
      <c r="K75" s="3" t="str">
        <f t="shared" si="3"/>
        <v>مقبول</v>
      </c>
      <c r="L75" s="11"/>
      <c r="M75" s="3"/>
      <c r="N75" s="3"/>
    </row>
    <row r="76" spans="1:14" x14ac:dyDescent="0.35">
      <c r="A76" s="3">
        <v>73</v>
      </c>
      <c r="B76" s="14">
        <v>46251</v>
      </c>
      <c r="C76" s="3"/>
      <c r="D76" s="3"/>
      <c r="E76" s="11" t="s">
        <v>143</v>
      </c>
      <c r="F76" s="3"/>
      <c r="G76" s="13">
        <v>220000</v>
      </c>
      <c r="H76" s="13"/>
      <c r="I76" s="3"/>
      <c r="J76" s="6">
        <f t="shared" si="2"/>
        <v>52785</v>
      </c>
      <c r="K76" s="3" t="str">
        <f t="shared" si="3"/>
        <v>مقبول</v>
      </c>
      <c r="L76" s="11"/>
      <c r="M76" s="3"/>
      <c r="N76" s="3"/>
    </row>
    <row r="77" spans="1:14" x14ac:dyDescent="0.35">
      <c r="A77" s="3">
        <v>74</v>
      </c>
      <c r="B77" s="14">
        <v>46251</v>
      </c>
      <c r="C77" s="3"/>
      <c r="D77" s="3"/>
      <c r="E77" s="11" t="s">
        <v>144</v>
      </c>
      <c r="F77" s="3"/>
      <c r="G77" s="13">
        <v>1000</v>
      </c>
      <c r="H77" s="13"/>
      <c r="I77" s="3"/>
      <c r="J77" s="6">
        <f t="shared" si="2"/>
        <v>51785</v>
      </c>
      <c r="K77" s="3" t="str">
        <f t="shared" si="3"/>
        <v>مقبول</v>
      </c>
      <c r="L77" s="11" t="s">
        <v>145</v>
      </c>
      <c r="M77" s="3"/>
      <c r="N77" s="3"/>
    </row>
    <row r="78" spans="1:14" x14ac:dyDescent="0.35">
      <c r="A78" s="3">
        <v>75</v>
      </c>
      <c r="B78" s="14">
        <v>46251</v>
      </c>
      <c r="C78" s="3"/>
      <c r="D78" s="3"/>
      <c r="E78" s="11" t="s">
        <v>146</v>
      </c>
      <c r="F78" s="3"/>
      <c r="G78" s="13">
        <v>1000</v>
      </c>
      <c r="H78" s="13"/>
      <c r="I78" s="3"/>
      <c r="J78" s="6">
        <f t="shared" si="2"/>
        <v>50785</v>
      </c>
      <c r="K78" s="3" t="str">
        <f t="shared" si="3"/>
        <v>مقبول</v>
      </c>
      <c r="L78" s="3"/>
      <c r="M78" s="3"/>
      <c r="N78" s="3"/>
    </row>
    <row r="79" spans="1:14" x14ac:dyDescent="0.35">
      <c r="A79" s="3">
        <v>76</v>
      </c>
      <c r="B79" s="14">
        <v>46251</v>
      </c>
      <c r="C79" s="3"/>
      <c r="D79" s="3"/>
      <c r="E79" s="11" t="s">
        <v>147</v>
      </c>
      <c r="F79" s="3"/>
      <c r="G79" s="13">
        <v>100</v>
      </c>
      <c r="H79" s="13"/>
      <c r="I79" s="3"/>
      <c r="J79" s="6">
        <f t="shared" si="2"/>
        <v>50685</v>
      </c>
      <c r="K79" s="3" t="str">
        <f t="shared" si="3"/>
        <v>مقبول</v>
      </c>
      <c r="L79" s="11"/>
      <c r="M79" s="3"/>
      <c r="N79" s="3"/>
    </row>
    <row r="80" spans="1:14" x14ac:dyDescent="0.35">
      <c r="A80" s="3">
        <v>77</v>
      </c>
      <c r="B80" s="14">
        <v>46251</v>
      </c>
      <c r="C80" s="3"/>
      <c r="D80" s="3"/>
      <c r="E80" s="11" t="s">
        <v>148</v>
      </c>
      <c r="F80" s="3"/>
      <c r="G80" s="13">
        <v>300</v>
      </c>
      <c r="H80" s="13"/>
      <c r="I80" s="3"/>
      <c r="J80" s="6">
        <f t="shared" si="2"/>
        <v>50385</v>
      </c>
      <c r="K80" s="3" t="str">
        <f t="shared" si="3"/>
        <v>مقبول</v>
      </c>
      <c r="L80" s="11"/>
      <c r="M80" s="3"/>
      <c r="N80" s="3"/>
    </row>
    <row r="81" spans="1:14" x14ac:dyDescent="0.35">
      <c r="A81" s="3">
        <v>78</v>
      </c>
      <c r="B81" s="14">
        <v>46251</v>
      </c>
      <c r="C81" s="3"/>
      <c r="D81" s="3"/>
      <c r="E81" s="11" t="s">
        <v>149</v>
      </c>
      <c r="F81" s="3"/>
      <c r="G81" s="13">
        <v>500</v>
      </c>
      <c r="H81" s="13"/>
      <c r="I81" s="3"/>
      <c r="J81" s="6">
        <f t="shared" si="2"/>
        <v>49885</v>
      </c>
      <c r="K81" s="3" t="str">
        <f t="shared" si="3"/>
        <v>مقبول</v>
      </c>
      <c r="L81" s="11"/>
      <c r="M81" s="3"/>
      <c r="N81" s="3"/>
    </row>
    <row r="82" spans="1:14" x14ac:dyDescent="0.35">
      <c r="A82" s="3">
        <v>79</v>
      </c>
      <c r="B82" s="14">
        <v>46252</v>
      </c>
      <c r="C82" s="3"/>
      <c r="D82" s="3"/>
      <c r="E82" s="11" t="s">
        <v>150</v>
      </c>
      <c r="F82" s="3"/>
      <c r="G82" s="13"/>
      <c r="H82" s="13">
        <v>20000</v>
      </c>
      <c r="I82" s="3"/>
      <c r="J82" s="6">
        <f t="shared" si="2"/>
        <v>69885</v>
      </c>
      <c r="K82" s="3" t="str">
        <f t="shared" si="3"/>
        <v>مقبول</v>
      </c>
      <c r="L82" s="11" t="s">
        <v>151</v>
      </c>
      <c r="M82" s="3"/>
      <c r="N82" s="3"/>
    </row>
    <row r="83" spans="1:14" x14ac:dyDescent="0.35">
      <c r="A83" s="3">
        <v>80</v>
      </c>
      <c r="B83" s="14">
        <v>46252</v>
      </c>
      <c r="C83" s="3"/>
      <c r="D83" s="3"/>
      <c r="E83" s="11" t="s">
        <v>152</v>
      </c>
      <c r="F83" s="3"/>
      <c r="G83" s="13">
        <v>1900</v>
      </c>
      <c r="H83" s="13"/>
      <c r="I83" s="3"/>
      <c r="J83" s="6">
        <f t="shared" si="2"/>
        <v>67985</v>
      </c>
      <c r="K83" s="3" t="str">
        <f t="shared" si="3"/>
        <v>مقبول</v>
      </c>
      <c r="L83" s="11"/>
      <c r="M83" s="3"/>
      <c r="N83" s="3"/>
    </row>
    <row r="84" spans="1:14" x14ac:dyDescent="0.35">
      <c r="A84" s="3">
        <v>81</v>
      </c>
      <c r="B84" s="14">
        <v>46252</v>
      </c>
      <c r="C84" s="3"/>
      <c r="D84" s="3"/>
      <c r="E84" s="11" t="s">
        <v>153</v>
      </c>
      <c r="F84" s="3"/>
      <c r="G84" s="13">
        <v>100</v>
      </c>
      <c r="H84" s="13"/>
      <c r="I84" s="3"/>
      <c r="J84" s="6">
        <f t="shared" si="2"/>
        <v>67885</v>
      </c>
      <c r="K84" s="3" t="str">
        <f t="shared" si="3"/>
        <v>مقبول</v>
      </c>
      <c r="L84" s="11"/>
      <c r="M84" s="3"/>
      <c r="N84" s="3"/>
    </row>
    <row r="85" spans="1:14" x14ac:dyDescent="0.35">
      <c r="A85" s="3">
        <v>82</v>
      </c>
      <c r="B85" s="14">
        <v>46252</v>
      </c>
      <c r="C85" s="3"/>
      <c r="D85" s="3"/>
      <c r="E85" s="11" t="s">
        <v>154</v>
      </c>
      <c r="F85" s="3"/>
      <c r="G85" s="13">
        <v>1100</v>
      </c>
      <c r="H85" s="13"/>
      <c r="I85" s="3"/>
      <c r="J85" s="6">
        <f t="shared" si="2"/>
        <v>66785</v>
      </c>
      <c r="K85" s="3" t="str">
        <f t="shared" si="3"/>
        <v>مقبول</v>
      </c>
      <c r="L85" s="11"/>
      <c r="M85" s="3"/>
      <c r="N85" s="3"/>
    </row>
    <row r="86" spans="1:14" x14ac:dyDescent="0.35">
      <c r="A86" s="3">
        <v>83</v>
      </c>
      <c r="B86" s="14">
        <v>46252</v>
      </c>
      <c r="C86" s="3"/>
      <c r="D86" s="3"/>
      <c r="E86" s="11" t="s">
        <v>155</v>
      </c>
      <c r="F86" s="3"/>
      <c r="G86" s="13">
        <v>9300</v>
      </c>
      <c r="H86" s="13"/>
      <c r="I86" s="3"/>
      <c r="J86" s="6">
        <f t="shared" si="2"/>
        <v>57485</v>
      </c>
      <c r="K86" s="3" t="str">
        <f t="shared" si="3"/>
        <v>مقبول</v>
      </c>
      <c r="L86" s="11"/>
      <c r="M86" s="3"/>
      <c r="N86" s="3"/>
    </row>
    <row r="87" spans="1:14" x14ac:dyDescent="0.35">
      <c r="A87" s="3">
        <v>84</v>
      </c>
      <c r="B87" s="14">
        <v>46252</v>
      </c>
      <c r="C87" s="3"/>
      <c r="D87" s="3"/>
      <c r="E87" s="11" t="s">
        <v>156</v>
      </c>
      <c r="F87" s="3"/>
      <c r="G87" s="13">
        <v>400</v>
      </c>
      <c r="H87" s="13"/>
      <c r="I87" s="3"/>
      <c r="J87" s="6">
        <f t="shared" si="2"/>
        <v>57085</v>
      </c>
      <c r="K87" s="3" t="str">
        <f t="shared" si="3"/>
        <v>مقبول</v>
      </c>
      <c r="L87" s="11" t="s">
        <v>157</v>
      </c>
      <c r="M87" s="3"/>
      <c r="N87" s="3"/>
    </row>
    <row r="88" spans="1:14" x14ac:dyDescent="0.35">
      <c r="A88" s="3">
        <v>85</v>
      </c>
      <c r="B88" s="14">
        <v>46252</v>
      </c>
      <c r="C88" s="3"/>
      <c r="D88" s="3"/>
      <c r="E88" s="11" t="s">
        <v>158</v>
      </c>
      <c r="F88" s="3"/>
      <c r="G88" s="13">
        <v>665</v>
      </c>
      <c r="H88" s="13"/>
      <c r="I88" s="3"/>
      <c r="J88" s="6">
        <f t="shared" si="2"/>
        <v>56420</v>
      </c>
      <c r="K88" s="3" t="str">
        <f t="shared" si="3"/>
        <v>مقبول</v>
      </c>
      <c r="L88" s="11"/>
      <c r="M88" s="3"/>
      <c r="N88" s="3"/>
    </row>
    <row r="89" spans="1:14" x14ac:dyDescent="0.35">
      <c r="A89" s="3">
        <v>86</v>
      </c>
      <c r="B89" s="14">
        <v>46252</v>
      </c>
      <c r="C89" s="3"/>
      <c r="D89" s="3"/>
      <c r="E89" s="11" t="s">
        <v>159</v>
      </c>
      <c r="F89" s="3"/>
      <c r="G89" s="13">
        <v>900</v>
      </c>
      <c r="H89" s="13"/>
      <c r="I89" s="3"/>
      <c r="J89" s="6">
        <f t="shared" si="2"/>
        <v>55520</v>
      </c>
      <c r="K89" s="3" t="str">
        <f t="shared" si="3"/>
        <v>مقبول</v>
      </c>
      <c r="L89" s="11"/>
      <c r="M89" s="3"/>
      <c r="N89" s="3"/>
    </row>
    <row r="90" spans="1:14" x14ac:dyDescent="0.35">
      <c r="A90" s="3">
        <v>87</v>
      </c>
      <c r="B90" s="14">
        <v>46253</v>
      </c>
      <c r="C90" s="3"/>
      <c r="D90" s="3"/>
      <c r="E90" s="11" t="s">
        <v>160</v>
      </c>
      <c r="F90" s="3"/>
      <c r="G90" s="13">
        <v>200</v>
      </c>
      <c r="H90" s="13"/>
      <c r="I90" s="3"/>
      <c r="J90" s="6">
        <f t="shared" si="2"/>
        <v>55320</v>
      </c>
      <c r="K90" s="3" t="str">
        <f t="shared" si="3"/>
        <v>مقبول</v>
      </c>
      <c r="L90" s="11"/>
      <c r="M90" s="3"/>
      <c r="N90" s="3"/>
    </row>
    <row r="91" spans="1:14" x14ac:dyDescent="0.35">
      <c r="A91" s="3">
        <v>88</v>
      </c>
      <c r="B91" s="14">
        <v>46253</v>
      </c>
      <c r="C91" s="3"/>
      <c r="D91" s="3"/>
      <c r="E91" s="11" t="s">
        <v>150</v>
      </c>
      <c r="F91" s="3"/>
      <c r="G91" s="13"/>
      <c r="H91" s="13">
        <v>9300</v>
      </c>
      <c r="I91" s="3"/>
      <c r="J91" s="6">
        <f t="shared" si="2"/>
        <v>64620</v>
      </c>
      <c r="K91" s="3" t="str">
        <f t="shared" si="3"/>
        <v>مقبول</v>
      </c>
      <c r="L91" s="11" t="s">
        <v>151</v>
      </c>
      <c r="M91" s="3"/>
      <c r="N91" s="3"/>
    </row>
    <row r="92" spans="1:14" x14ac:dyDescent="0.35">
      <c r="A92" s="3">
        <v>89</v>
      </c>
      <c r="B92" s="14">
        <v>46253</v>
      </c>
      <c r="C92" s="3"/>
      <c r="D92" s="3"/>
      <c r="E92" s="11" t="s">
        <v>161</v>
      </c>
      <c r="F92" s="3"/>
      <c r="G92" s="13">
        <v>260</v>
      </c>
      <c r="H92" s="13"/>
      <c r="I92" s="3"/>
      <c r="J92" s="6">
        <f t="shared" si="2"/>
        <v>64360</v>
      </c>
      <c r="K92" s="3" t="str">
        <f t="shared" si="3"/>
        <v>مقبول</v>
      </c>
      <c r="L92" s="11"/>
      <c r="M92" s="3"/>
      <c r="N92" s="3"/>
    </row>
    <row r="93" spans="1:14" x14ac:dyDescent="0.35">
      <c r="A93" s="3">
        <v>90</v>
      </c>
      <c r="B93" s="14">
        <v>46253</v>
      </c>
      <c r="C93" s="3"/>
      <c r="D93" s="3"/>
      <c r="E93" s="11" t="s">
        <v>162</v>
      </c>
      <c r="F93" s="3"/>
      <c r="G93" s="13">
        <v>200</v>
      </c>
      <c r="H93" s="13"/>
      <c r="I93" s="3"/>
      <c r="J93" s="6">
        <f t="shared" si="2"/>
        <v>64160</v>
      </c>
      <c r="K93" s="3" t="str">
        <f t="shared" si="3"/>
        <v>مقبول</v>
      </c>
      <c r="L93" s="11"/>
      <c r="M93" s="3"/>
      <c r="N93" s="3"/>
    </row>
    <row r="94" spans="1:14" x14ac:dyDescent="0.35">
      <c r="A94" s="3">
        <v>91</v>
      </c>
      <c r="B94" s="14">
        <v>46254</v>
      </c>
      <c r="C94" s="3"/>
      <c r="D94" s="3"/>
      <c r="E94" s="3" t="s">
        <v>163</v>
      </c>
      <c r="F94" s="3"/>
      <c r="G94" s="13">
        <v>315</v>
      </c>
      <c r="H94" s="13"/>
      <c r="I94" s="3"/>
      <c r="J94" s="6">
        <f t="shared" si="2"/>
        <v>63845</v>
      </c>
      <c r="K94" s="3" t="str">
        <f t="shared" si="3"/>
        <v>مقبول</v>
      </c>
      <c r="L94" s="11"/>
      <c r="M94" s="3"/>
      <c r="N94" s="3"/>
    </row>
    <row r="95" spans="1:14" x14ac:dyDescent="0.35">
      <c r="A95" s="3">
        <v>92</v>
      </c>
      <c r="B95" s="14">
        <v>46254</v>
      </c>
      <c r="C95" s="3"/>
      <c r="D95" s="3"/>
      <c r="E95" s="11" t="s">
        <v>164</v>
      </c>
      <c r="F95" s="3"/>
      <c r="G95" s="13">
        <v>145</v>
      </c>
      <c r="H95" s="13"/>
      <c r="I95" s="3"/>
      <c r="J95" s="6">
        <f t="shared" si="2"/>
        <v>63700</v>
      </c>
      <c r="K95" s="3" t="str">
        <f t="shared" si="3"/>
        <v>مقبول</v>
      </c>
      <c r="L95" s="11"/>
      <c r="M95" s="3"/>
      <c r="N95" s="3"/>
    </row>
    <row r="96" spans="1:14" x14ac:dyDescent="0.35">
      <c r="A96" s="3">
        <v>93</v>
      </c>
      <c r="B96" s="14">
        <v>46254</v>
      </c>
      <c r="C96" s="3"/>
      <c r="D96" s="3"/>
      <c r="E96" s="3" t="s">
        <v>165</v>
      </c>
      <c r="F96" s="3"/>
      <c r="G96" s="13">
        <v>1900</v>
      </c>
      <c r="H96" s="13"/>
      <c r="I96" s="3"/>
      <c r="J96" s="6">
        <f t="shared" si="2"/>
        <v>61800</v>
      </c>
      <c r="K96" s="3" t="str">
        <f t="shared" si="3"/>
        <v>مقبول</v>
      </c>
      <c r="L96" s="11"/>
      <c r="M96" s="3"/>
      <c r="N96" s="3"/>
    </row>
    <row r="97" spans="1:14" x14ac:dyDescent="0.35">
      <c r="A97" s="3">
        <v>94</v>
      </c>
      <c r="B97" s="14">
        <v>46254</v>
      </c>
      <c r="C97" s="3"/>
      <c r="D97" s="3"/>
      <c r="E97" s="3" t="s">
        <v>166</v>
      </c>
      <c r="F97" s="3"/>
      <c r="G97" s="13">
        <v>190</v>
      </c>
      <c r="H97" s="13"/>
      <c r="I97" s="3"/>
      <c r="J97" s="6">
        <f t="shared" si="2"/>
        <v>61610</v>
      </c>
      <c r="K97" s="3" t="str">
        <f t="shared" si="3"/>
        <v>مقبول</v>
      </c>
      <c r="L97" s="11"/>
      <c r="M97" s="3"/>
      <c r="N97" s="3"/>
    </row>
    <row r="98" spans="1:14" x14ac:dyDescent="0.35">
      <c r="A98" s="3">
        <v>95</v>
      </c>
      <c r="B98" s="14">
        <v>46254</v>
      </c>
      <c r="C98" s="3"/>
      <c r="D98" s="3"/>
      <c r="E98" s="3" t="s">
        <v>167</v>
      </c>
      <c r="F98" s="3"/>
      <c r="G98" s="13">
        <v>145</v>
      </c>
      <c r="H98" s="13"/>
      <c r="I98" s="3"/>
      <c r="J98" s="6">
        <f t="shared" si="2"/>
        <v>61465</v>
      </c>
      <c r="K98" s="3" t="str">
        <f t="shared" si="3"/>
        <v>مقبول</v>
      </c>
      <c r="L98" s="11"/>
      <c r="M98" s="3"/>
      <c r="N98" s="3"/>
    </row>
    <row r="99" spans="1:14" x14ac:dyDescent="0.35">
      <c r="A99" s="3">
        <v>96</v>
      </c>
      <c r="B99" s="14">
        <v>46254</v>
      </c>
      <c r="C99" s="3"/>
      <c r="D99" s="3"/>
      <c r="E99" s="3" t="s">
        <v>168</v>
      </c>
      <c r="F99" s="3"/>
      <c r="G99" s="13">
        <v>2150</v>
      </c>
      <c r="H99" s="13"/>
      <c r="I99" s="3"/>
      <c r="J99" s="6">
        <f t="shared" ref="J99:J152" si="4">J98-G99+H99</f>
        <v>59315</v>
      </c>
      <c r="K99" s="3" t="str">
        <f t="shared" ref="K99:K153" si="5">IF(J99&lt;200,"تنبيه: أعد التعبئة","مقبول")</f>
        <v>مقبول</v>
      </c>
      <c r="L99" s="11"/>
      <c r="M99" s="3"/>
      <c r="N99" s="3"/>
    </row>
    <row r="100" spans="1:14" x14ac:dyDescent="0.35">
      <c r="A100" s="3">
        <v>97</v>
      </c>
      <c r="B100" s="14">
        <v>46255</v>
      </c>
      <c r="C100" s="3"/>
      <c r="D100" s="3"/>
      <c r="E100" s="3" t="s">
        <v>169</v>
      </c>
      <c r="F100" s="3"/>
      <c r="G100" s="13">
        <v>2020</v>
      </c>
      <c r="H100" s="13"/>
      <c r="I100" s="3"/>
      <c r="J100" s="6">
        <f t="shared" si="4"/>
        <v>57295</v>
      </c>
      <c r="K100" s="3" t="str">
        <f t="shared" si="5"/>
        <v>مقبول</v>
      </c>
      <c r="L100" s="11"/>
      <c r="M100" s="3"/>
      <c r="N100" s="3"/>
    </row>
    <row r="101" spans="1:14" x14ac:dyDescent="0.35">
      <c r="A101" s="3">
        <v>98</v>
      </c>
      <c r="B101" s="14">
        <v>46255</v>
      </c>
      <c r="C101" s="3"/>
      <c r="D101" s="3"/>
      <c r="E101" s="3" t="s">
        <v>170</v>
      </c>
      <c r="F101" s="3"/>
      <c r="G101" s="13">
        <v>970</v>
      </c>
      <c r="H101" s="13"/>
      <c r="I101" s="3"/>
      <c r="J101" s="6">
        <f t="shared" si="4"/>
        <v>56325</v>
      </c>
      <c r="K101" s="3" t="str">
        <f t="shared" si="5"/>
        <v>مقبول</v>
      </c>
      <c r="L101" s="11"/>
      <c r="M101" s="3"/>
      <c r="N101" s="3"/>
    </row>
    <row r="102" spans="1:14" x14ac:dyDescent="0.35">
      <c r="A102" s="3">
        <v>99</v>
      </c>
      <c r="B102" s="14">
        <v>46255</v>
      </c>
      <c r="C102" s="3"/>
      <c r="D102" s="3"/>
      <c r="E102" s="3" t="s">
        <v>171</v>
      </c>
      <c r="F102" s="3"/>
      <c r="G102" s="13">
        <v>200</v>
      </c>
      <c r="H102" s="13"/>
      <c r="I102" s="3"/>
      <c r="J102" s="6">
        <f t="shared" si="4"/>
        <v>56125</v>
      </c>
      <c r="K102" s="3" t="str">
        <f t="shared" si="5"/>
        <v>مقبول</v>
      </c>
      <c r="L102" s="11"/>
      <c r="M102" s="3"/>
      <c r="N102" s="3"/>
    </row>
    <row r="103" spans="1:14" x14ac:dyDescent="0.35">
      <c r="A103" s="3">
        <v>100</v>
      </c>
      <c r="B103" s="14">
        <v>46255</v>
      </c>
      <c r="C103" s="3"/>
      <c r="D103" s="3"/>
      <c r="E103" s="11" t="s">
        <v>172</v>
      </c>
      <c r="F103" s="3"/>
      <c r="G103" s="13">
        <v>50</v>
      </c>
      <c r="H103" s="13"/>
      <c r="I103" s="3"/>
      <c r="J103" s="6">
        <f t="shared" si="4"/>
        <v>56075</v>
      </c>
      <c r="K103" s="3" t="str">
        <f t="shared" si="5"/>
        <v>مقبول</v>
      </c>
      <c r="L103" s="11"/>
      <c r="M103" s="3"/>
      <c r="N103" s="3"/>
    </row>
    <row r="104" spans="1:14" x14ac:dyDescent="0.35">
      <c r="A104" s="3">
        <v>101</v>
      </c>
      <c r="B104" s="14">
        <v>46255</v>
      </c>
      <c r="C104" s="3"/>
      <c r="D104" s="3"/>
      <c r="E104" s="11" t="s">
        <v>173</v>
      </c>
      <c r="F104" s="3"/>
      <c r="G104" s="13">
        <v>100</v>
      </c>
      <c r="H104" s="13"/>
      <c r="I104" s="3"/>
      <c r="J104" s="6">
        <f t="shared" si="4"/>
        <v>55975</v>
      </c>
      <c r="K104" s="3" t="str">
        <f t="shared" si="5"/>
        <v>مقبول</v>
      </c>
      <c r="L104" s="11"/>
      <c r="M104" s="3"/>
      <c r="N104" s="3"/>
    </row>
    <row r="105" spans="1:14" x14ac:dyDescent="0.35">
      <c r="A105" s="3">
        <v>102</v>
      </c>
      <c r="B105" s="14">
        <v>46255</v>
      </c>
      <c r="C105" s="3"/>
      <c r="D105" s="3"/>
      <c r="E105" s="11" t="s">
        <v>174</v>
      </c>
      <c r="F105" s="3"/>
      <c r="G105" s="13">
        <v>50</v>
      </c>
      <c r="H105" s="13"/>
      <c r="I105" s="3"/>
      <c r="J105" s="6">
        <f t="shared" si="4"/>
        <v>55925</v>
      </c>
      <c r="K105" s="3" t="str">
        <f t="shared" si="5"/>
        <v>مقبول</v>
      </c>
      <c r="L105" s="11"/>
      <c r="M105" s="3"/>
      <c r="N105" s="3"/>
    </row>
    <row r="106" spans="1:14" x14ac:dyDescent="0.35">
      <c r="A106" s="3">
        <v>103</v>
      </c>
      <c r="B106" s="14">
        <v>46256</v>
      </c>
      <c r="C106" s="3"/>
      <c r="D106" s="3"/>
      <c r="E106" s="11" t="s">
        <v>175</v>
      </c>
      <c r="F106" s="3"/>
      <c r="G106" s="13"/>
      <c r="H106" s="13">
        <v>2100</v>
      </c>
      <c r="I106" s="3"/>
      <c r="J106" s="6">
        <f t="shared" si="4"/>
        <v>58025</v>
      </c>
      <c r="K106" s="3" t="str">
        <f t="shared" si="5"/>
        <v>مقبول</v>
      </c>
      <c r="L106" s="11"/>
      <c r="M106" s="3"/>
      <c r="N106" s="3"/>
    </row>
    <row r="107" spans="1:14" x14ac:dyDescent="0.35">
      <c r="A107" s="3">
        <v>104</v>
      </c>
      <c r="B107" s="14">
        <v>46257</v>
      </c>
      <c r="C107" s="3"/>
      <c r="D107" s="3"/>
      <c r="E107" s="11" t="s">
        <v>176</v>
      </c>
      <c r="F107" s="3"/>
      <c r="G107" s="13">
        <v>30000</v>
      </c>
      <c r="H107" s="13"/>
      <c r="I107" s="3"/>
      <c r="J107" s="6">
        <f t="shared" si="4"/>
        <v>28025</v>
      </c>
      <c r="K107" s="3" t="str">
        <f t="shared" si="5"/>
        <v>مقبول</v>
      </c>
      <c r="L107" s="11" t="s">
        <v>177</v>
      </c>
      <c r="M107" s="3"/>
      <c r="N107" s="3"/>
    </row>
    <row r="108" spans="1:14" x14ac:dyDescent="0.35">
      <c r="A108" s="3">
        <v>105</v>
      </c>
      <c r="B108" s="14">
        <v>46257</v>
      </c>
      <c r="C108" s="3"/>
      <c r="D108" s="3"/>
      <c r="E108" s="11"/>
      <c r="F108" s="3"/>
      <c r="G108" s="13"/>
      <c r="H108" s="13"/>
      <c r="I108" s="3"/>
      <c r="J108" s="6">
        <f t="shared" si="4"/>
        <v>28025</v>
      </c>
      <c r="K108" s="3" t="str">
        <f t="shared" si="5"/>
        <v>مقبول</v>
      </c>
      <c r="L108" s="3"/>
      <c r="M108" s="3"/>
      <c r="N108" s="3"/>
    </row>
    <row r="109" spans="1:14" x14ac:dyDescent="0.35">
      <c r="A109" s="3">
        <v>106</v>
      </c>
      <c r="B109" s="14">
        <v>46257</v>
      </c>
      <c r="C109" s="3"/>
      <c r="D109" s="3"/>
      <c r="E109" s="11" t="s">
        <v>178</v>
      </c>
      <c r="F109" s="3"/>
      <c r="G109" s="13">
        <v>7250</v>
      </c>
      <c r="H109" s="13"/>
      <c r="I109" s="3"/>
      <c r="J109" s="6">
        <f t="shared" si="4"/>
        <v>20775</v>
      </c>
      <c r="K109" s="3" t="str">
        <f t="shared" si="5"/>
        <v>مقبول</v>
      </c>
      <c r="L109" s="11"/>
      <c r="M109" s="3"/>
      <c r="N109" s="3"/>
    </row>
    <row r="110" spans="1:14" x14ac:dyDescent="0.35">
      <c r="A110" s="3">
        <v>107</v>
      </c>
      <c r="B110" s="14">
        <v>46257</v>
      </c>
      <c r="C110" s="3"/>
      <c r="D110" s="3"/>
      <c r="E110" s="11" t="s">
        <v>179</v>
      </c>
      <c r="F110" s="3"/>
      <c r="G110" s="13">
        <v>2500</v>
      </c>
      <c r="H110" s="13"/>
      <c r="I110" s="3"/>
      <c r="J110" s="6">
        <f t="shared" si="4"/>
        <v>18275</v>
      </c>
      <c r="K110" s="3" t="str">
        <f t="shared" si="5"/>
        <v>مقبول</v>
      </c>
      <c r="L110" s="11"/>
      <c r="M110" s="3"/>
      <c r="N110" s="3"/>
    </row>
    <row r="111" spans="1:14" x14ac:dyDescent="0.35">
      <c r="A111" s="3">
        <v>108</v>
      </c>
      <c r="B111" s="14">
        <v>46257</v>
      </c>
      <c r="C111" s="3"/>
      <c r="D111" s="3"/>
      <c r="E111" s="11" t="s">
        <v>144</v>
      </c>
      <c r="F111" s="3"/>
      <c r="G111" s="13">
        <v>1000</v>
      </c>
      <c r="H111" s="13"/>
      <c r="I111" s="3"/>
      <c r="J111" s="6">
        <f t="shared" si="4"/>
        <v>17275</v>
      </c>
      <c r="K111" s="3" t="str">
        <f t="shared" si="5"/>
        <v>مقبول</v>
      </c>
      <c r="L111" s="11"/>
      <c r="M111" s="3"/>
      <c r="N111" s="3"/>
    </row>
    <row r="112" spans="1:14" x14ac:dyDescent="0.35">
      <c r="A112" s="3">
        <v>109</v>
      </c>
      <c r="B112" s="14">
        <v>46257</v>
      </c>
      <c r="C112" s="3"/>
      <c r="D112" s="3"/>
      <c r="E112" s="11" t="s">
        <v>180</v>
      </c>
      <c r="F112" s="3"/>
      <c r="G112" s="13">
        <v>1500</v>
      </c>
      <c r="H112" s="13"/>
      <c r="I112" s="3"/>
      <c r="J112" s="6">
        <f t="shared" si="4"/>
        <v>15775</v>
      </c>
      <c r="K112" s="3" t="str">
        <f t="shared" si="5"/>
        <v>مقبول</v>
      </c>
      <c r="L112" s="11"/>
      <c r="M112" s="3"/>
      <c r="N112" s="3"/>
    </row>
    <row r="113" spans="1:14" x14ac:dyDescent="0.35">
      <c r="A113" s="3">
        <v>110</v>
      </c>
      <c r="B113" s="14">
        <v>46258</v>
      </c>
      <c r="C113" s="3"/>
      <c r="D113" s="3"/>
      <c r="E113" s="11" t="s">
        <v>181</v>
      </c>
      <c r="F113" s="3"/>
      <c r="G113" s="13">
        <v>380</v>
      </c>
      <c r="H113" s="13"/>
      <c r="I113" s="3"/>
      <c r="J113" s="6">
        <f t="shared" si="4"/>
        <v>15395</v>
      </c>
      <c r="K113" s="3" t="str">
        <f t="shared" si="5"/>
        <v>مقبول</v>
      </c>
      <c r="L113" s="11"/>
      <c r="M113" s="3"/>
      <c r="N113" s="3"/>
    </row>
    <row r="114" spans="1:14" x14ac:dyDescent="0.35">
      <c r="A114" s="3">
        <v>111</v>
      </c>
      <c r="B114" s="14">
        <v>46258</v>
      </c>
      <c r="C114" s="3"/>
      <c r="D114" s="3"/>
      <c r="E114" s="11" t="s">
        <v>182</v>
      </c>
      <c r="F114" s="3"/>
      <c r="G114" s="13">
        <v>2000</v>
      </c>
      <c r="H114" s="13"/>
      <c r="I114" s="3"/>
      <c r="J114" s="6">
        <f t="shared" si="4"/>
        <v>13395</v>
      </c>
      <c r="K114" s="3" t="str">
        <f t="shared" si="5"/>
        <v>مقبول</v>
      </c>
      <c r="L114" s="11"/>
      <c r="M114" s="3"/>
      <c r="N114" s="3"/>
    </row>
    <row r="115" spans="1:14" x14ac:dyDescent="0.35">
      <c r="A115" s="3">
        <v>112</v>
      </c>
      <c r="B115" s="14">
        <v>46258</v>
      </c>
      <c r="C115" s="3"/>
      <c r="D115" s="3"/>
      <c r="E115" s="11" t="s">
        <v>183</v>
      </c>
      <c r="F115" s="3"/>
      <c r="G115" s="13">
        <v>1000</v>
      </c>
      <c r="H115" s="13"/>
      <c r="I115" s="3"/>
      <c r="J115" s="6">
        <f t="shared" si="4"/>
        <v>12395</v>
      </c>
      <c r="K115" s="3" t="str">
        <f t="shared" si="5"/>
        <v>مقبول</v>
      </c>
      <c r="L115" s="11"/>
      <c r="M115" s="3"/>
      <c r="N115" s="3"/>
    </row>
    <row r="116" spans="1:14" x14ac:dyDescent="0.35">
      <c r="A116" s="3">
        <v>113</v>
      </c>
      <c r="B116" s="14">
        <v>46258</v>
      </c>
      <c r="C116" s="3"/>
      <c r="D116" s="3"/>
      <c r="E116" s="11" t="s">
        <v>184</v>
      </c>
      <c r="F116" s="3"/>
      <c r="G116" s="13">
        <v>500</v>
      </c>
      <c r="H116" s="13"/>
      <c r="I116" s="3"/>
      <c r="J116" s="6">
        <f t="shared" si="4"/>
        <v>11895</v>
      </c>
      <c r="K116" s="3" t="str">
        <f t="shared" si="5"/>
        <v>مقبول</v>
      </c>
      <c r="L116" s="11"/>
      <c r="M116" s="3"/>
      <c r="N116" s="3"/>
    </row>
    <row r="117" spans="1:14" x14ac:dyDescent="0.35">
      <c r="A117" s="3">
        <v>114</v>
      </c>
      <c r="B117" s="14">
        <v>46258</v>
      </c>
      <c r="C117" s="3"/>
      <c r="D117" s="3"/>
      <c r="E117" s="11" t="s">
        <v>185</v>
      </c>
      <c r="F117" s="3"/>
      <c r="G117" s="13">
        <v>500</v>
      </c>
      <c r="H117" s="13"/>
      <c r="I117" s="3"/>
      <c r="J117" s="6">
        <f t="shared" si="4"/>
        <v>11395</v>
      </c>
      <c r="K117" s="3" t="str">
        <f t="shared" si="5"/>
        <v>مقبول</v>
      </c>
      <c r="L117" s="11"/>
      <c r="M117" s="3"/>
      <c r="N117" s="3"/>
    </row>
    <row r="118" spans="1:14" x14ac:dyDescent="0.35">
      <c r="A118" s="3">
        <v>115</v>
      </c>
      <c r="B118" s="14">
        <v>46259</v>
      </c>
      <c r="C118" s="3"/>
      <c r="D118" s="3"/>
      <c r="E118" s="11" t="s">
        <v>186</v>
      </c>
      <c r="F118" s="3"/>
      <c r="G118" s="13"/>
      <c r="H118" s="13">
        <v>15000</v>
      </c>
      <c r="I118" s="3"/>
      <c r="J118" s="6">
        <f t="shared" si="4"/>
        <v>26395</v>
      </c>
      <c r="K118" s="3" t="str">
        <f t="shared" si="5"/>
        <v>مقبول</v>
      </c>
      <c r="L118" s="11" t="s">
        <v>187</v>
      </c>
      <c r="M118" s="3"/>
      <c r="N118" s="3"/>
    </row>
    <row r="119" spans="1:14" x14ac:dyDescent="0.35">
      <c r="A119" s="3">
        <v>116</v>
      </c>
      <c r="B119" s="14">
        <v>46259</v>
      </c>
      <c r="C119" s="3"/>
      <c r="D119" s="3"/>
      <c r="E119" s="11" t="s">
        <v>188</v>
      </c>
      <c r="F119" s="3"/>
      <c r="G119" s="13">
        <v>20150</v>
      </c>
      <c r="H119" s="13"/>
      <c r="I119" s="3"/>
      <c r="J119" s="6">
        <f t="shared" si="4"/>
        <v>6245</v>
      </c>
      <c r="K119" s="3" t="str">
        <f t="shared" si="5"/>
        <v>مقبول</v>
      </c>
      <c r="L119" s="11"/>
      <c r="M119" s="3"/>
      <c r="N119" s="3"/>
    </row>
    <row r="120" spans="1:14" x14ac:dyDescent="0.35">
      <c r="A120" s="3">
        <v>117</v>
      </c>
      <c r="B120" s="14">
        <v>46259</v>
      </c>
      <c r="C120" s="3"/>
      <c r="D120" s="3"/>
      <c r="E120" s="11" t="s">
        <v>189</v>
      </c>
      <c r="F120" s="3"/>
      <c r="G120" s="13">
        <v>350</v>
      </c>
      <c r="H120" s="13"/>
      <c r="I120" s="3"/>
      <c r="J120" s="6">
        <f t="shared" si="4"/>
        <v>5895</v>
      </c>
      <c r="K120" s="3" t="str">
        <f t="shared" si="5"/>
        <v>مقبول</v>
      </c>
      <c r="L120" s="11"/>
      <c r="M120" s="3"/>
      <c r="N120" s="3"/>
    </row>
    <row r="121" spans="1:14" x14ac:dyDescent="0.35">
      <c r="A121" s="3">
        <v>118</v>
      </c>
      <c r="B121" s="14">
        <v>46259</v>
      </c>
      <c r="C121" s="3"/>
      <c r="D121" s="3"/>
      <c r="E121" s="11" t="s">
        <v>190</v>
      </c>
      <c r="F121" s="3"/>
      <c r="G121" s="13"/>
      <c r="H121" s="13">
        <v>15000</v>
      </c>
      <c r="I121" s="3"/>
      <c r="J121" s="6">
        <f t="shared" si="4"/>
        <v>20895</v>
      </c>
      <c r="K121" s="3" t="str">
        <f t="shared" si="5"/>
        <v>مقبول</v>
      </c>
      <c r="L121" s="11"/>
      <c r="M121" s="3"/>
      <c r="N121" s="3"/>
    </row>
    <row r="122" spans="1:14" x14ac:dyDescent="0.35">
      <c r="A122" s="3">
        <v>119</v>
      </c>
      <c r="B122" s="14">
        <v>46259</v>
      </c>
      <c r="C122" s="3"/>
      <c r="D122" s="3"/>
      <c r="E122" s="11" t="s">
        <v>191</v>
      </c>
      <c r="F122" s="3"/>
      <c r="G122" s="13">
        <v>2000</v>
      </c>
      <c r="H122" s="13"/>
      <c r="I122" s="3"/>
      <c r="J122" s="6">
        <f t="shared" si="4"/>
        <v>18895</v>
      </c>
      <c r="K122" s="3" t="str">
        <f t="shared" si="5"/>
        <v>مقبول</v>
      </c>
      <c r="L122" s="11"/>
      <c r="M122" s="3"/>
      <c r="N122" s="3"/>
    </row>
    <row r="123" spans="1:14" x14ac:dyDescent="0.35">
      <c r="A123" s="3">
        <v>120</v>
      </c>
      <c r="B123" s="14">
        <v>46259</v>
      </c>
      <c r="C123" s="3"/>
      <c r="D123" s="3"/>
      <c r="E123" s="11" t="s">
        <v>192</v>
      </c>
      <c r="F123" s="3"/>
      <c r="G123" s="13">
        <v>8000</v>
      </c>
      <c r="H123" s="13"/>
      <c r="I123" s="3"/>
      <c r="J123" s="6">
        <f t="shared" si="4"/>
        <v>10895</v>
      </c>
      <c r="K123" s="3" t="str">
        <f t="shared" si="5"/>
        <v>مقبول</v>
      </c>
      <c r="L123" s="11"/>
      <c r="M123" s="3"/>
      <c r="N123" s="3"/>
    </row>
    <row r="124" spans="1:14" x14ac:dyDescent="0.35">
      <c r="A124" s="3">
        <v>121</v>
      </c>
      <c r="B124" s="14">
        <v>46259</v>
      </c>
      <c r="C124" s="3"/>
      <c r="D124" s="3"/>
      <c r="E124" s="3" t="s">
        <v>193</v>
      </c>
      <c r="F124" s="3"/>
      <c r="G124" s="13">
        <v>5500</v>
      </c>
      <c r="H124" s="13"/>
      <c r="I124" s="3"/>
      <c r="J124" s="6">
        <f t="shared" si="4"/>
        <v>5395</v>
      </c>
      <c r="K124" s="3" t="str">
        <f t="shared" si="5"/>
        <v>مقبول</v>
      </c>
      <c r="L124" s="11"/>
      <c r="M124" s="3"/>
      <c r="N124" s="3"/>
    </row>
    <row r="125" spans="1:14" x14ac:dyDescent="0.35">
      <c r="A125" s="3">
        <v>122</v>
      </c>
      <c r="B125" s="14">
        <v>46259</v>
      </c>
      <c r="C125" s="3"/>
      <c r="D125" s="3"/>
      <c r="E125" s="11" t="s">
        <v>194</v>
      </c>
      <c r="F125" s="3"/>
      <c r="G125" s="13">
        <v>1000</v>
      </c>
      <c r="H125" s="13"/>
      <c r="I125" s="3"/>
      <c r="J125" s="6">
        <f t="shared" si="4"/>
        <v>4395</v>
      </c>
      <c r="K125" s="3" t="str">
        <f t="shared" si="5"/>
        <v>مقبول</v>
      </c>
      <c r="L125" s="11"/>
      <c r="M125" s="3"/>
      <c r="N125" s="3"/>
    </row>
    <row r="126" spans="1:14" x14ac:dyDescent="0.35">
      <c r="A126" s="3">
        <v>123</v>
      </c>
      <c r="B126" s="14">
        <v>46260</v>
      </c>
      <c r="C126" s="3"/>
      <c r="D126" s="3"/>
      <c r="E126" s="3" t="s">
        <v>195</v>
      </c>
      <c r="F126" s="3"/>
      <c r="G126" s="13">
        <v>1500</v>
      </c>
      <c r="H126" s="13"/>
      <c r="I126" s="3"/>
      <c r="J126" s="6">
        <f t="shared" si="4"/>
        <v>2895</v>
      </c>
      <c r="K126" s="3" t="str">
        <f t="shared" si="5"/>
        <v>مقبول</v>
      </c>
      <c r="L126" s="11"/>
      <c r="M126" s="3"/>
      <c r="N126" s="3"/>
    </row>
    <row r="127" spans="1:14" x14ac:dyDescent="0.35">
      <c r="A127" s="3">
        <v>124</v>
      </c>
      <c r="B127" s="14">
        <v>46260</v>
      </c>
      <c r="C127" s="3"/>
      <c r="D127" s="3"/>
      <c r="E127" s="3" t="s">
        <v>196</v>
      </c>
      <c r="F127" s="3"/>
      <c r="G127" s="13">
        <v>140</v>
      </c>
      <c r="H127" s="13"/>
      <c r="I127" s="3"/>
      <c r="J127" s="6">
        <f t="shared" si="4"/>
        <v>2755</v>
      </c>
      <c r="K127" s="3" t="str">
        <f t="shared" si="5"/>
        <v>مقبول</v>
      </c>
      <c r="L127" s="11"/>
      <c r="M127" s="3"/>
      <c r="N127" s="3"/>
    </row>
    <row r="128" spans="1:14" x14ac:dyDescent="0.35">
      <c r="A128" s="3">
        <v>125</v>
      </c>
      <c r="B128" s="14">
        <v>46260</v>
      </c>
      <c r="C128" s="3"/>
      <c r="D128" s="3"/>
      <c r="E128" s="3" t="s">
        <v>197</v>
      </c>
      <c r="F128" s="3"/>
      <c r="G128" s="13">
        <v>3400</v>
      </c>
      <c r="H128" s="13"/>
      <c r="I128" s="3"/>
      <c r="J128" s="6">
        <f t="shared" si="4"/>
        <v>-645</v>
      </c>
      <c r="K128" s="3" t="str">
        <f t="shared" si="5"/>
        <v>تنبيه: أعد التعبئة</v>
      </c>
      <c r="L128" s="11"/>
      <c r="M128" s="3"/>
      <c r="N128" s="3"/>
    </row>
    <row r="129" spans="1:14" x14ac:dyDescent="0.35">
      <c r="A129" s="3">
        <v>126</v>
      </c>
      <c r="B129" s="14">
        <v>46260</v>
      </c>
      <c r="C129" s="3"/>
      <c r="D129" s="3"/>
      <c r="E129" s="3" t="s">
        <v>198</v>
      </c>
      <c r="F129" s="3"/>
      <c r="G129" s="13">
        <v>160</v>
      </c>
      <c r="H129" s="13"/>
      <c r="I129" s="3"/>
      <c r="J129" s="6">
        <f t="shared" si="4"/>
        <v>-805</v>
      </c>
      <c r="K129" s="3" t="str">
        <f t="shared" si="5"/>
        <v>تنبيه: أعد التعبئة</v>
      </c>
      <c r="L129" s="11"/>
      <c r="M129" s="3"/>
      <c r="N129" s="3"/>
    </row>
    <row r="130" spans="1:14" x14ac:dyDescent="0.35">
      <c r="A130" s="3">
        <v>127</v>
      </c>
      <c r="B130" s="14">
        <v>46261</v>
      </c>
      <c r="C130" s="3"/>
      <c r="D130" s="3"/>
      <c r="E130" s="3" t="s">
        <v>199</v>
      </c>
      <c r="F130" s="3"/>
      <c r="G130" s="13">
        <v>100</v>
      </c>
      <c r="H130" s="13"/>
      <c r="I130" s="3"/>
      <c r="J130" s="6">
        <f t="shared" si="4"/>
        <v>-905</v>
      </c>
      <c r="K130" s="3" t="str">
        <f t="shared" si="5"/>
        <v>تنبيه: أعد التعبئة</v>
      </c>
      <c r="L130" s="11"/>
      <c r="M130" s="3"/>
      <c r="N130" s="3"/>
    </row>
    <row r="131" spans="1:14" x14ac:dyDescent="0.35">
      <c r="A131" s="3">
        <v>128</v>
      </c>
      <c r="B131" s="14">
        <v>46261</v>
      </c>
      <c r="C131" s="3"/>
      <c r="D131" s="3"/>
      <c r="E131" s="3" t="s">
        <v>200</v>
      </c>
      <c r="F131" s="3"/>
      <c r="G131" s="13">
        <v>500</v>
      </c>
      <c r="H131" s="13"/>
      <c r="I131" s="3"/>
      <c r="J131" s="6">
        <f t="shared" si="4"/>
        <v>-1405</v>
      </c>
      <c r="K131" s="3" t="str">
        <f t="shared" si="5"/>
        <v>تنبيه: أعد التعبئة</v>
      </c>
      <c r="L131" s="11"/>
      <c r="M131" s="3"/>
      <c r="N131" s="3"/>
    </row>
    <row r="132" spans="1:14" x14ac:dyDescent="0.35">
      <c r="A132" s="3">
        <v>129</v>
      </c>
      <c r="B132" s="14">
        <v>46261</v>
      </c>
      <c r="C132" s="3"/>
      <c r="D132" s="3"/>
      <c r="E132" s="3" t="s">
        <v>201</v>
      </c>
      <c r="F132" s="3"/>
      <c r="G132" s="13">
        <v>500</v>
      </c>
      <c r="H132" s="13"/>
      <c r="I132" s="3"/>
      <c r="J132" s="6">
        <f t="shared" si="4"/>
        <v>-1905</v>
      </c>
      <c r="K132" s="3" t="str">
        <f t="shared" si="5"/>
        <v>تنبيه: أعد التعبئة</v>
      </c>
      <c r="L132" s="11"/>
      <c r="M132" s="3"/>
      <c r="N132" s="3"/>
    </row>
    <row r="133" spans="1:14" x14ac:dyDescent="0.35">
      <c r="A133" s="3">
        <v>130</v>
      </c>
      <c r="B133" s="14">
        <v>46261</v>
      </c>
      <c r="C133" s="3"/>
      <c r="D133" s="3"/>
      <c r="E133" s="11" t="s">
        <v>202</v>
      </c>
      <c r="F133" s="3"/>
      <c r="G133" s="13">
        <v>1520</v>
      </c>
      <c r="H133" s="13"/>
      <c r="I133" s="3"/>
      <c r="J133" s="6">
        <f t="shared" si="4"/>
        <v>-3425</v>
      </c>
      <c r="K133" s="3" t="str">
        <f t="shared" si="5"/>
        <v>تنبيه: أعد التعبئة</v>
      </c>
      <c r="L133" s="11"/>
      <c r="M133" s="3"/>
      <c r="N133" s="3"/>
    </row>
    <row r="134" spans="1:14" x14ac:dyDescent="0.35">
      <c r="A134" s="3">
        <v>131</v>
      </c>
      <c r="B134" s="14">
        <v>46262</v>
      </c>
      <c r="C134" s="3"/>
      <c r="D134" s="3"/>
      <c r="E134" s="11" t="s">
        <v>203</v>
      </c>
      <c r="F134" s="3"/>
      <c r="G134" s="13">
        <v>200</v>
      </c>
      <c r="H134" s="13"/>
      <c r="I134" s="3"/>
      <c r="J134" s="6">
        <f t="shared" si="4"/>
        <v>-3625</v>
      </c>
      <c r="K134" s="3" t="str">
        <f t="shared" si="5"/>
        <v>تنبيه: أعد التعبئة</v>
      </c>
      <c r="L134" s="11"/>
      <c r="M134" s="3"/>
      <c r="N134" s="3"/>
    </row>
    <row r="135" spans="1:14" x14ac:dyDescent="0.35">
      <c r="A135" s="3">
        <v>132</v>
      </c>
      <c r="B135" s="14">
        <v>46262</v>
      </c>
      <c r="C135" s="3"/>
      <c r="D135" s="3"/>
      <c r="E135" s="11" t="s">
        <v>204</v>
      </c>
      <c r="F135" s="3"/>
      <c r="G135" s="13">
        <v>150</v>
      </c>
      <c r="H135" s="13"/>
      <c r="I135" s="3"/>
      <c r="J135" s="6">
        <f t="shared" si="4"/>
        <v>-3775</v>
      </c>
      <c r="K135" s="3" t="str">
        <f t="shared" si="5"/>
        <v>تنبيه: أعد التعبئة</v>
      </c>
      <c r="L135" s="11"/>
      <c r="M135" s="3"/>
      <c r="N135" s="3"/>
    </row>
    <row r="136" spans="1:14" x14ac:dyDescent="0.35">
      <c r="A136" s="3">
        <v>133</v>
      </c>
      <c r="B136" s="14">
        <v>46263</v>
      </c>
      <c r="C136" s="3"/>
      <c r="D136" s="3"/>
      <c r="E136" s="11" t="s">
        <v>205</v>
      </c>
      <c r="F136" s="3"/>
      <c r="G136" s="13">
        <v>250</v>
      </c>
      <c r="H136" s="13"/>
      <c r="I136" s="3"/>
      <c r="J136" s="6">
        <f t="shared" si="4"/>
        <v>-4025</v>
      </c>
      <c r="K136" s="3" t="str">
        <f t="shared" si="5"/>
        <v>تنبيه: أعد التعبئة</v>
      </c>
      <c r="L136" s="11"/>
      <c r="M136" s="3"/>
      <c r="N136" s="3"/>
    </row>
    <row r="137" spans="1:14" x14ac:dyDescent="0.35">
      <c r="A137" s="3">
        <v>134</v>
      </c>
      <c r="B137" s="14">
        <v>46263</v>
      </c>
      <c r="C137" s="3"/>
      <c r="D137" s="3"/>
      <c r="E137" s="11" t="s">
        <v>206</v>
      </c>
      <c r="F137" s="3"/>
      <c r="G137" s="13">
        <v>200</v>
      </c>
      <c r="H137" s="13"/>
      <c r="I137" s="3"/>
      <c r="J137" s="6">
        <f t="shared" si="4"/>
        <v>-4225</v>
      </c>
      <c r="K137" s="3" t="str">
        <f t="shared" si="5"/>
        <v>تنبيه: أعد التعبئة</v>
      </c>
      <c r="L137" s="11"/>
      <c r="M137" s="3"/>
      <c r="N137" s="3"/>
    </row>
    <row r="138" spans="1:14" x14ac:dyDescent="0.35">
      <c r="A138" s="3">
        <v>135</v>
      </c>
      <c r="B138" s="14">
        <v>46263</v>
      </c>
      <c r="C138" s="3"/>
      <c r="D138" s="3"/>
      <c r="E138" s="11" t="s">
        <v>207</v>
      </c>
      <c r="F138" s="3"/>
      <c r="G138" s="13">
        <v>200</v>
      </c>
      <c r="H138" s="13"/>
      <c r="I138" s="3"/>
      <c r="J138" s="6">
        <f t="shared" si="4"/>
        <v>-4425</v>
      </c>
      <c r="K138" s="3" t="str">
        <f t="shared" si="5"/>
        <v>تنبيه: أعد التعبئة</v>
      </c>
      <c r="L138" s="3"/>
      <c r="M138" s="3"/>
      <c r="N138" s="3"/>
    </row>
    <row r="139" spans="1:14" x14ac:dyDescent="0.35">
      <c r="A139" s="3">
        <v>136</v>
      </c>
      <c r="B139" s="14">
        <v>46264</v>
      </c>
      <c r="C139" s="3"/>
      <c r="D139" s="3"/>
      <c r="E139" s="11" t="s">
        <v>162</v>
      </c>
      <c r="F139" s="3"/>
      <c r="G139" s="13">
        <v>200</v>
      </c>
      <c r="H139" s="13"/>
      <c r="I139" s="3"/>
      <c r="J139" s="6">
        <f t="shared" si="4"/>
        <v>-4625</v>
      </c>
      <c r="K139" s="3" t="str">
        <f t="shared" si="5"/>
        <v>تنبيه: أعد التعبئة</v>
      </c>
      <c r="L139" s="11"/>
      <c r="M139" s="3"/>
      <c r="N139" s="3"/>
    </row>
    <row r="140" spans="1:14" x14ac:dyDescent="0.35">
      <c r="A140" s="3">
        <v>137</v>
      </c>
      <c r="B140" s="14">
        <v>46264</v>
      </c>
      <c r="C140" s="3"/>
      <c r="D140" s="3"/>
      <c r="E140" s="11" t="s">
        <v>122</v>
      </c>
      <c r="F140" s="3"/>
      <c r="G140" s="13"/>
      <c r="H140" s="13">
        <v>50000</v>
      </c>
      <c r="I140" s="3"/>
      <c r="J140" s="6">
        <f t="shared" si="4"/>
        <v>45375</v>
      </c>
      <c r="K140" s="3" t="str">
        <f t="shared" si="5"/>
        <v>مقبول</v>
      </c>
      <c r="L140" s="11"/>
      <c r="M140" s="3"/>
      <c r="N140" s="3"/>
    </row>
    <row r="141" spans="1:14" x14ac:dyDescent="0.35">
      <c r="A141" s="3">
        <v>138</v>
      </c>
      <c r="B141" s="14">
        <v>46264</v>
      </c>
      <c r="C141" s="3"/>
      <c r="D141" s="3"/>
      <c r="E141" s="11" t="s">
        <v>208</v>
      </c>
      <c r="F141" s="3"/>
      <c r="G141" s="13">
        <v>20000</v>
      </c>
      <c r="H141" s="13"/>
      <c r="I141" s="3"/>
      <c r="J141" s="6">
        <f t="shared" si="4"/>
        <v>25375</v>
      </c>
      <c r="K141" s="3" t="str">
        <f t="shared" si="5"/>
        <v>مقبول</v>
      </c>
      <c r="L141" s="11"/>
      <c r="M141" s="3"/>
      <c r="N141" s="3"/>
    </row>
    <row r="142" spans="1:14" x14ac:dyDescent="0.35">
      <c r="A142" s="3">
        <v>139</v>
      </c>
      <c r="B142" s="14">
        <v>46264</v>
      </c>
      <c r="C142" s="3"/>
      <c r="D142" s="3"/>
      <c r="E142" s="11" t="s">
        <v>209</v>
      </c>
      <c r="F142" s="3"/>
      <c r="G142" s="13">
        <v>10000</v>
      </c>
      <c r="H142" s="13"/>
      <c r="I142" s="3"/>
      <c r="J142" s="6">
        <f t="shared" si="4"/>
        <v>15375</v>
      </c>
      <c r="K142" s="3" t="str">
        <f t="shared" si="5"/>
        <v>مقبول</v>
      </c>
      <c r="L142" s="11"/>
      <c r="M142" s="3"/>
      <c r="N142" s="3"/>
    </row>
    <row r="143" spans="1:14" x14ac:dyDescent="0.35">
      <c r="A143" s="3">
        <v>140</v>
      </c>
      <c r="B143" s="14">
        <v>46264</v>
      </c>
      <c r="C143" s="3"/>
      <c r="D143" s="3"/>
      <c r="E143" s="11" t="s">
        <v>210</v>
      </c>
      <c r="F143" s="3"/>
      <c r="G143" s="13">
        <v>100</v>
      </c>
      <c r="H143" s="13"/>
      <c r="I143" s="3"/>
      <c r="J143" s="6">
        <f t="shared" si="4"/>
        <v>15275</v>
      </c>
      <c r="K143" s="3" t="str">
        <f t="shared" si="5"/>
        <v>مقبول</v>
      </c>
      <c r="L143" s="11"/>
      <c r="M143" s="3"/>
      <c r="N143" s="3"/>
    </row>
    <row r="144" spans="1:14" x14ac:dyDescent="0.35">
      <c r="A144" s="3">
        <v>141</v>
      </c>
      <c r="B144" s="14">
        <v>46264</v>
      </c>
      <c r="C144" s="3"/>
      <c r="D144" s="3"/>
      <c r="E144" s="11" t="s">
        <v>211</v>
      </c>
      <c r="F144" s="3"/>
      <c r="G144" s="13">
        <v>2920</v>
      </c>
      <c r="H144" s="13"/>
      <c r="I144" s="3"/>
      <c r="J144" s="6">
        <f t="shared" si="4"/>
        <v>12355</v>
      </c>
      <c r="K144" s="3" t="str">
        <f t="shared" si="5"/>
        <v>مقبول</v>
      </c>
      <c r="L144" s="11" t="s">
        <v>212</v>
      </c>
      <c r="M144" s="3"/>
      <c r="N144" s="3"/>
    </row>
    <row r="145" spans="1:14" x14ac:dyDescent="0.35">
      <c r="A145" s="3">
        <v>142</v>
      </c>
      <c r="B145" s="14">
        <v>46264</v>
      </c>
      <c r="C145" s="3"/>
      <c r="D145" s="3"/>
      <c r="E145" s="11" t="s">
        <v>204</v>
      </c>
      <c r="F145" s="3"/>
      <c r="G145" s="13">
        <v>150</v>
      </c>
      <c r="H145" s="13"/>
      <c r="I145" s="3"/>
      <c r="J145" s="6">
        <f t="shared" si="4"/>
        <v>12205</v>
      </c>
      <c r="K145" s="3" t="str">
        <f t="shared" si="5"/>
        <v>مقبول</v>
      </c>
      <c r="L145" s="11"/>
      <c r="M145" s="3"/>
      <c r="N145" s="3"/>
    </row>
    <row r="146" spans="1:14" x14ac:dyDescent="0.35">
      <c r="A146" s="3">
        <v>143</v>
      </c>
      <c r="B146" s="14">
        <v>46264</v>
      </c>
      <c r="C146" s="3"/>
      <c r="D146" s="3"/>
      <c r="E146" s="11" t="s">
        <v>213</v>
      </c>
      <c r="F146" s="3"/>
      <c r="G146" s="13">
        <v>200</v>
      </c>
      <c r="H146" s="13"/>
      <c r="I146" s="3"/>
      <c r="J146" s="6">
        <f t="shared" si="4"/>
        <v>12005</v>
      </c>
      <c r="K146" s="3" t="str">
        <f t="shared" si="5"/>
        <v>مقبول</v>
      </c>
      <c r="L146" s="11"/>
      <c r="M146" s="3"/>
      <c r="N146" s="3"/>
    </row>
    <row r="147" spans="1:14" x14ac:dyDescent="0.35">
      <c r="A147" s="3">
        <v>144</v>
      </c>
      <c r="B147" s="14">
        <v>46264</v>
      </c>
      <c r="C147" s="3"/>
      <c r="D147" s="3"/>
      <c r="E147" s="11" t="s">
        <v>214</v>
      </c>
      <c r="F147" s="3"/>
      <c r="G147" s="13">
        <v>130</v>
      </c>
      <c r="H147" s="13"/>
      <c r="I147" s="3"/>
      <c r="J147" s="6">
        <f t="shared" si="4"/>
        <v>11875</v>
      </c>
      <c r="K147" s="3" t="str">
        <f t="shared" si="5"/>
        <v>مقبول</v>
      </c>
      <c r="L147" s="11"/>
      <c r="M147" s="3"/>
      <c r="N147" s="3"/>
    </row>
    <row r="148" spans="1:14" x14ac:dyDescent="0.35">
      <c r="A148" s="3">
        <v>145</v>
      </c>
      <c r="B148" s="14">
        <v>46264</v>
      </c>
      <c r="C148" s="3"/>
      <c r="D148" s="3"/>
      <c r="E148" s="11" t="s">
        <v>215</v>
      </c>
      <c r="F148" s="3"/>
      <c r="G148" s="13">
        <v>50</v>
      </c>
      <c r="H148" s="13"/>
      <c r="I148" s="3"/>
      <c r="J148" s="6">
        <f t="shared" si="4"/>
        <v>11825</v>
      </c>
      <c r="K148" s="3" t="str">
        <f t="shared" si="5"/>
        <v>مقبول</v>
      </c>
      <c r="L148" s="11"/>
      <c r="M148" s="3"/>
      <c r="N148" s="3"/>
    </row>
    <row r="149" spans="1:14" x14ac:dyDescent="0.35">
      <c r="A149" s="3">
        <v>146</v>
      </c>
      <c r="B149" s="14">
        <v>46265</v>
      </c>
      <c r="C149" s="3"/>
      <c r="D149" s="3"/>
      <c r="E149" s="11" t="s">
        <v>216</v>
      </c>
      <c r="F149" s="3"/>
      <c r="G149" s="13">
        <v>340</v>
      </c>
      <c r="H149" s="13"/>
      <c r="I149" s="3"/>
      <c r="J149" s="6">
        <f t="shared" si="4"/>
        <v>11485</v>
      </c>
      <c r="K149" s="3" t="str">
        <f t="shared" si="5"/>
        <v>مقبول</v>
      </c>
      <c r="L149" s="11"/>
      <c r="M149" s="3"/>
      <c r="N149" s="3"/>
    </row>
    <row r="150" spans="1:14" x14ac:dyDescent="0.35">
      <c r="A150" s="3">
        <v>147</v>
      </c>
      <c r="B150" s="14">
        <v>46265</v>
      </c>
      <c r="C150" s="3"/>
      <c r="D150" s="3"/>
      <c r="E150" s="11" t="s">
        <v>217</v>
      </c>
      <c r="F150" s="3"/>
      <c r="G150" s="13">
        <v>6000</v>
      </c>
      <c r="H150" s="13"/>
      <c r="I150" s="3"/>
      <c r="J150" s="6">
        <f t="shared" si="4"/>
        <v>5485</v>
      </c>
      <c r="K150" s="3" t="str">
        <f t="shared" si="5"/>
        <v>مقبول</v>
      </c>
      <c r="L150" s="11"/>
      <c r="M150" s="3"/>
      <c r="N150" s="3"/>
    </row>
    <row r="151" spans="1:14" x14ac:dyDescent="0.35">
      <c r="A151" s="3">
        <v>148</v>
      </c>
      <c r="B151" s="14">
        <v>46265</v>
      </c>
      <c r="C151" s="3"/>
      <c r="D151" s="3"/>
      <c r="E151" s="11" t="s">
        <v>218</v>
      </c>
      <c r="F151" s="3"/>
      <c r="G151" s="13">
        <v>690</v>
      </c>
      <c r="H151" s="13"/>
      <c r="I151" s="3"/>
      <c r="J151" s="6">
        <f t="shared" si="4"/>
        <v>4795</v>
      </c>
      <c r="K151" s="3" t="str">
        <f t="shared" si="5"/>
        <v>مقبول</v>
      </c>
      <c r="L151" s="11"/>
      <c r="M151" s="3"/>
      <c r="N151" s="3"/>
    </row>
    <row r="152" spans="1:14" ht="15" thickBot="1" x14ac:dyDescent="0.4">
      <c r="A152" s="15">
        <v>149</v>
      </c>
      <c r="B152" s="16">
        <v>46265</v>
      </c>
      <c r="C152" s="15"/>
      <c r="D152" s="15"/>
      <c r="E152" s="17" t="s">
        <v>219</v>
      </c>
      <c r="F152" s="15"/>
      <c r="G152" s="18">
        <v>100</v>
      </c>
      <c r="H152" s="18"/>
      <c r="I152" s="15"/>
      <c r="J152" s="19">
        <f t="shared" si="4"/>
        <v>4695</v>
      </c>
      <c r="K152" s="15" t="str">
        <f t="shared" si="5"/>
        <v>مقبول</v>
      </c>
      <c r="L152" s="11"/>
      <c r="M152" s="3"/>
      <c r="N152" s="3"/>
    </row>
    <row r="153" spans="1:14" ht="15" thickBot="1" x14ac:dyDescent="0.4">
      <c r="A153" s="26" t="s">
        <v>220</v>
      </c>
      <c r="B153" s="27"/>
      <c r="C153" s="27"/>
      <c r="D153" s="20"/>
      <c r="E153" s="20"/>
      <c r="F153" s="20"/>
      <c r="G153" s="21">
        <f>SUM(G4:G152)</f>
        <v>506640</v>
      </c>
      <c r="H153" s="21">
        <f>SUM(H4:H152)</f>
        <v>511335</v>
      </c>
      <c r="I153" s="20"/>
      <c r="J153" s="21">
        <f>H153-G153</f>
        <v>4695</v>
      </c>
      <c r="K153" s="22" t="str">
        <f t="shared" si="5"/>
        <v>مقبول</v>
      </c>
    </row>
  </sheetData>
  <mergeCells count="2">
    <mergeCell ref="A1:N1"/>
    <mergeCell ref="A153:C15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AddNewRowToCurrentSheet">
                <anchor moveWithCells="1" sizeWithCells="1">
                  <from>
                    <xdr:col>5</xdr:col>
                    <xdr:colOff>495300</xdr:colOff>
                    <xdr:row>0</xdr:row>
                    <xdr:rowOff>50800</xdr:rowOff>
                  </from>
                  <to>
                    <xdr:col>6</xdr:col>
                    <xdr:colOff>958850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B1155-A96D-432F-8D4D-6EB775560CF1}">
  <sheetPr codeName="Sheet9"/>
  <dimension ref="A1:N130"/>
  <sheetViews>
    <sheetView rightToLeft="1" tabSelected="1" topLeftCell="A24" workbookViewId="0">
      <selection activeCell="G38" sqref="G38"/>
    </sheetView>
  </sheetViews>
  <sheetFormatPr defaultRowHeight="14.5" x14ac:dyDescent="0.35"/>
  <cols>
    <col min="1" max="1" width="8.6328125" customWidth="1"/>
    <col min="2" max="3" width="12.6328125" customWidth="1"/>
    <col min="4" max="4" width="10.6328125" customWidth="1"/>
    <col min="5" max="5" width="36.90625" bestFit="1" customWidth="1"/>
    <col min="6" max="6" width="20.6328125" customWidth="1"/>
    <col min="7" max="8" width="14.6328125" customWidth="1"/>
    <col min="9" max="9" width="12.6328125" customWidth="1"/>
    <col min="10" max="10" width="14.6328125" customWidth="1"/>
    <col min="11" max="11" width="18.6328125" customWidth="1"/>
    <col min="12" max="12" width="30.7265625" bestFit="1" customWidth="1"/>
    <col min="13" max="14" width="14.6328125" customWidth="1"/>
  </cols>
  <sheetData>
    <row r="1" spans="1:14" ht="18.5" x14ac:dyDescent="0.45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</row>
    <row r="2" spans="1:14" x14ac:dyDescent="0.35">
      <c r="A2" s="1" t="s">
        <v>1</v>
      </c>
      <c r="B2" s="1"/>
      <c r="C2" s="1" t="s">
        <v>2</v>
      </c>
      <c r="D2" s="1">
        <v>5000</v>
      </c>
    </row>
    <row r="3" spans="1:14" x14ac:dyDescent="0.35">
      <c r="A3" s="2" t="s">
        <v>3</v>
      </c>
      <c r="B3" s="2" t="s">
        <v>4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L3" s="2" t="s">
        <v>14</v>
      </c>
      <c r="M3" s="2" t="s">
        <v>15</v>
      </c>
      <c r="N3" s="2" t="s">
        <v>16</v>
      </c>
    </row>
    <row r="4" spans="1:14" x14ac:dyDescent="0.35">
      <c r="A4" s="3" t="s">
        <v>17</v>
      </c>
      <c r="B4" s="23">
        <v>46266</v>
      </c>
      <c r="C4" s="3">
        <v>4695</v>
      </c>
      <c r="D4" s="3"/>
      <c r="E4" s="3"/>
      <c r="F4" s="3"/>
      <c r="G4" s="6"/>
      <c r="H4" s="6"/>
      <c r="I4" s="3"/>
      <c r="J4" s="6">
        <f>C4-G4+H4</f>
        <v>4695</v>
      </c>
      <c r="K4" s="3" t="str">
        <f t="shared" ref="K4:K34" si="0">IF(J4&lt;200,"تنبيه: أعد التعبئة","مقبول")</f>
        <v>مقبول</v>
      </c>
      <c r="L4" s="3"/>
      <c r="M4" s="3"/>
      <c r="N4" s="3"/>
    </row>
    <row r="5" spans="1:14" x14ac:dyDescent="0.35">
      <c r="A5" s="3">
        <v>1</v>
      </c>
      <c r="B5" s="23">
        <v>46266</v>
      </c>
      <c r="C5" s="3"/>
      <c r="D5" s="3"/>
      <c r="E5" s="3" t="s">
        <v>221</v>
      </c>
      <c r="F5" s="3"/>
      <c r="G5" s="3"/>
      <c r="H5" s="3">
        <v>15000</v>
      </c>
      <c r="I5" s="3"/>
      <c r="J5" s="6">
        <f t="shared" ref="J5:J33" si="1">J4-G5+H5</f>
        <v>19695</v>
      </c>
      <c r="K5" s="3" t="str">
        <f t="shared" si="0"/>
        <v>مقبول</v>
      </c>
      <c r="L5" s="3" t="s">
        <v>239</v>
      </c>
      <c r="M5" s="3"/>
      <c r="N5" s="3"/>
    </row>
    <row r="6" spans="1:14" x14ac:dyDescent="0.35">
      <c r="A6" s="3"/>
      <c r="B6" s="23">
        <v>46266</v>
      </c>
      <c r="C6" s="3"/>
      <c r="D6" s="3"/>
      <c r="E6" s="3" t="s">
        <v>222</v>
      </c>
      <c r="F6" s="3"/>
      <c r="G6" s="3"/>
      <c r="H6" s="3">
        <v>700</v>
      </c>
      <c r="I6" s="3"/>
      <c r="J6" s="6">
        <f t="shared" si="1"/>
        <v>20395</v>
      </c>
      <c r="K6" s="3" t="str">
        <f t="shared" si="0"/>
        <v>مقبول</v>
      </c>
      <c r="L6" s="3"/>
      <c r="M6" s="3"/>
      <c r="N6" s="3"/>
    </row>
    <row r="7" spans="1:14" x14ac:dyDescent="0.35">
      <c r="A7" s="3"/>
      <c r="B7" s="23">
        <v>46266</v>
      </c>
      <c r="C7" s="3"/>
      <c r="D7" s="3"/>
      <c r="E7" s="3" t="s">
        <v>223</v>
      </c>
      <c r="F7" s="3"/>
      <c r="G7" s="3">
        <v>50</v>
      </c>
      <c r="H7" s="3"/>
      <c r="I7" s="3"/>
      <c r="J7" s="6">
        <f t="shared" si="1"/>
        <v>20345</v>
      </c>
      <c r="K7" s="3" t="str">
        <f t="shared" si="0"/>
        <v>مقبول</v>
      </c>
      <c r="L7" s="3"/>
      <c r="M7" s="3"/>
      <c r="N7" s="3"/>
    </row>
    <row r="8" spans="1:14" x14ac:dyDescent="0.35">
      <c r="A8" s="3"/>
      <c r="B8" s="23">
        <v>46266</v>
      </c>
      <c r="C8" s="3"/>
      <c r="D8" s="3"/>
      <c r="E8" s="3" t="s">
        <v>224</v>
      </c>
      <c r="F8" s="3"/>
      <c r="G8" s="3">
        <v>50</v>
      </c>
      <c r="H8" s="3"/>
      <c r="I8" s="3"/>
      <c r="J8" s="6">
        <f t="shared" si="1"/>
        <v>20295</v>
      </c>
      <c r="K8" s="3" t="str">
        <f t="shared" si="0"/>
        <v>مقبول</v>
      </c>
      <c r="L8" s="3"/>
      <c r="M8" s="3"/>
      <c r="N8" s="3"/>
    </row>
    <row r="9" spans="1:14" x14ac:dyDescent="0.35">
      <c r="A9" s="3"/>
      <c r="B9" s="23">
        <v>46266</v>
      </c>
      <c r="C9" s="3"/>
      <c r="D9" s="3"/>
      <c r="E9" s="3" t="s">
        <v>225</v>
      </c>
      <c r="F9" s="3"/>
      <c r="G9" s="3">
        <v>100</v>
      </c>
      <c r="H9" s="3"/>
      <c r="I9" s="3"/>
      <c r="J9" s="6">
        <f t="shared" si="1"/>
        <v>20195</v>
      </c>
      <c r="K9" s="3" t="str">
        <f t="shared" si="0"/>
        <v>مقبول</v>
      </c>
      <c r="L9" s="3"/>
      <c r="M9" s="3"/>
      <c r="N9" s="3"/>
    </row>
    <row r="10" spans="1:14" x14ac:dyDescent="0.35">
      <c r="A10" s="3"/>
      <c r="B10" s="23">
        <v>46266</v>
      </c>
      <c r="C10" s="3"/>
      <c r="D10" s="3"/>
      <c r="E10" s="3" t="s">
        <v>226</v>
      </c>
      <c r="F10" s="3"/>
      <c r="G10" s="3">
        <v>65</v>
      </c>
      <c r="H10" s="3"/>
      <c r="I10" s="3"/>
      <c r="J10" s="6">
        <f t="shared" si="1"/>
        <v>20130</v>
      </c>
      <c r="K10" s="3" t="str">
        <f t="shared" si="0"/>
        <v>مقبول</v>
      </c>
      <c r="L10" s="3"/>
      <c r="M10" s="3"/>
      <c r="N10" s="3"/>
    </row>
    <row r="11" spans="1:14" x14ac:dyDescent="0.35">
      <c r="A11" s="3"/>
      <c r="B11" s="23">
        <v>46266</v>
      </c>
      <c r="C11" s="3"/>
      <c r="D11" s="3"/>
      <c r="E11" s="3" t="s">
        <v>227</v>
      </c>
      <c r="F11" s="3"/>
      <c r="G11" s="3">
        <v>400</v>
      </c>
      <c r="H11" s="3"/>
      <c r="I11" s="3"/>
      <c r="J11" s="6">
        <f t="shared" si="1"/>
        <v>19730</v>
      </c>
      <c r="K11" s="3" t="str">
        <f t="shared" si="0"/>
        <v>مقبول</v>
      </c>
      <c r="L11" s="3"/>
      <c r="M11" s="3"/>
      <c r="N11" s="3"/>
    </row>
    <row r="12" spans="1:14" x14ac:dyDescent="0.35">
      <c r="A12" s="3"/>
      <c r="B12" s="23">
        <v>46266</v>
      </c>
      <c r="C12" s="3"/>
      <c r="D12" s="3"/>
      <c r="E12" s="3" t="s">
        <v>228</v>
      </c>
      <c r="F12" s="3"/>
      <c r="G12" s="3">
        <v>50</v>
      </c>
      <c r="H12" s="3"/>
      <c r="I12" s="3"/>
      <c r="J12" s="6">
        <f t="shared" si="1"/>
        <v>19680</v>
      </c>
      <c r="K12" s="3" t="str">
        <f t="shared" si="0"/>
        <v>مقبول</v>
      </c>
      <c r="L12" s="3"/>
      <c r="M12" s="3"/>
      <c r="N12" s="3"/>
    </row>
    <row r="13" spans="1:14" x14ac:dyDescent="0.35">
      <c r="A13" s="3"/>
      <c r="B13" s="23">
        <v>46266</v>
      </c>
      <c r="C13" s="3"/>
      <c r="D13" s="3"/>
      <c r="E13" s="3" t="s">
        <v>229</v>
      </c>
      <c r="F13" s="3"/>
      <c r="G13" s="3">
        <v>7235</v>
      </c>
      <c r="H13" s="3"/>
      <c r="I13" s="3"/>
      <c r="J13" s="6">
        <f t="shared" si="1"/>
        <v>12445</v>
      </c>
      <c r="K13" s="3" t="str">
        <f t="shared" si="0"/>
        <v>مقبول</v>
      </c>
      <c r="L13" s="3"/>
      <c r="M13" s="3"/>
      <c r="N13" s="3"/>
    </row>
    <row r="14" spans="1:14" x14ac:dyDescent="0.35">
      <c r="A14" s="3"/>
      <c r="B14" s="23">
        <v>46266</v>
      </c>
      <c r="C14" s="3"/>
      <c r="D14" s="3"/>
      <c r="E14" s="3" t="s">
        <v>230</v>
      </c>
      <c r="F14" s="3"/>
      <c r="G14" s="3">
        <v>6000</v>
      </c>
      <c r="H14" s="3"/>
      <c r="I14" s="3"/>
      <c r="J14" s="6">
        <f t="shared" si="1"/>
        <v>6445</v>
      </c>
      <c r="K14" s="3" t="str">
        <f t="shared" si="0"/>
        <v>مقبول</v>
      </c>
      <c r="L14" s="3" t="s">
        <v>231</v>
      </c>
      <c r="M14" s="3"/>
      <c r="N14" s="3"/>
    </row>
    <row r="15" spans="1:14" x14ac:dyDescent="0.35">
      <c r="A15" s="3"/>
      <c r="B15" s="23">
        <v>46266</v>
      </c>
      <c r="C15" s="3"/>
      <c r="D15" s="3"/>
      <c r="E15" s="3" t="s">
        <v>232</v>
      </c>
      <c r="F15" s="3"/>
      <c r="G15" s="3">
        <v>1000</v>
      </c>
      <c r="H15" s="3"/>
      <c r="I15" s="3"/>
      <c r="J15" s="6">
        <f t="shared" si="1"/>
        <v>5445</v>
      </c>
      <c r="K15" s="3" t="str">
        <f t="shared" si="0"/>
        <v>مقبول</v>
      </c>
      <c r="L15" s="3"/>
      <c r="M15" s="3"/>
      <c r="N15" s="3"/>
    </row>
    <row r="16" spans="1:14" x14ac:dyDescent="0.35">
      <c r="A16" s="3"/>
      <c r="B16" s="23">
        <v>46266</v>
      </c>
      <c r="C16" s="3"/>
      <c r="D16" s="3"/>
      <c r="E16" s="3" t="s">
        <v>233</v>
      </c>
      <c r="F16" s="3"/>
      <c r="G16" s="3">
        <v>100</v>
      </c>
      <c r="H16" s="3"/>
      <c r="I16" s="3"/>
      <c r="J16" s="6">
        <f t="shared" si="1"/>
        <v>5345</v>
      </c>
      <c r="K16" s="3" t="str">
        <f t="shared" si="0"/>
        <v>مقبول</v>
      </c>
      <c r="L16" s="3"/>
      <c r="M16" s="3"/>
      <c r="N16" s="3"/>
    </row>
    <row r="17" spans="1:14" x14ac:dyDescent="0.35">
      <c r="A17" s="3"/>
      <c r="B17" s="23">
        <v>46266</v>
      </c>
      <c r="C17" s="3"/>
      <c r="D17" s="3"/>
      <c r="E17" s="3" t="s">
        <v>234</v>
      </c>
      <c r="F17" s="3"/>
      <c r="G17" s="3">
        <v>100</v>
      </c>
      <c r="H17" s="3"/>
      <c r="I17" s="3"/>
      <c r="J17" s="6">
        <f t="shared" si="1"/>
        <v>5245</v>
      </c>
      <c r="K17" s="3" t="str">
        <f t="shared" si="0"/>
        <v>مقبول</v>
      </c>
      <c r="L17" s="3"/>
      <c r="M17" s="3"/>
      <c r="N17" s="3"/>
    </row>
    <row r="18" spans="1:14" x14ac:dyDescent="0.35">
      <c r="A18" s="3"/>
      <c r="B18" s="23">
        <v>46267</v>
      </c>
      <c r="C18" s="3"/>
      <c r="D18" s="3"/>
      <c r="E18" s="3" t="s">
        <v>122</v>
      </c>
      <c r="F18" s="3"/>
      <c r="G18" s="3"/>
      <c r="H18" s="3">
        <v>20000</v>
      </c>
      <c r="I18" s="3"/>
      <c r="J18" s="6">
        <f t="shared" si="1"/>
        <v>25245</v>
      </c>
      <c r="K18" s="3" t="str">
        <f t="shared" si="0"/>
        <v>مقبول</v>
      </c>
      <c r="L18" s="3"/>
      <c r="M18" s="3"/>
      <c r="N18" s="3"/>
    </row>
    <row r="19" spans="1:14" x14ac:dyDescent="0.35">
      <c r="A19" s="3"/>
      <c r="B19" s="23">
        <v>46267</v>
      </c>
      <c r="C19" s="3"/>
      <c r="D19" s="3"/>
      <c r="E19" s="3" t="s">
        <v>223</v>
      </c>
      <c r="F19" s="3"/>
      <c r="G19" s="3">
        <v>50</v>
      </c>
      <c r="H19" s="3"/>
      <c r="I19" s="3"/>
      <c r="J19" s="6">
        <f t="shared" si="1"/>
        <v>25195</v>
      </c>
      <c r="K19" s="3" t="str">
        <f t="shared" si="0"/>
        <v>مقبول</v>
      </c>
      <c r="L19" s="3"/>
      <c r="M19" s="3"/>
      <c r="N19" s="3"/>
    </row>
    <row r="20" spans="1:14" x14ac:dyDescent="0.35">
      <c r="A20" s="3"/>
      <c r="B20" s="23">
        <v>46267</v>
      </c>
      <c r="C20" s="3"/>
      <c r="D20" s="3"/>
      <c r="E20" s="3" t="s">
        <v>235</v>
      </c>
      <c r="F20" s="3"/>
      <c r="G20" s="3">
        <v>10600</v>
      </c>
      <c r="H20" s="3"/>
      <c r="I20" s="3"/>
      <c r="J20" s="6">
        <f t="shared" si="1"/>
        <v>14595</v>
      </c>
      <c r="K20" s="3" t="str">
        <f t="shared" si="0"/>
        <v>مقبول</v>
      </c>
      <c r="L20" s="3"/>
      <c r="M20" s="3"/>
      <c r="N20" s="3"/>
    </row>
    <row r="21" spans="1:14" x14ac:dyDescent="0.35">
      <c r="A21" s="3"/>
      <c r="B21" s="23">
        <v>46267</v>
      </c>
      <c r="C21" s="3"/>
      <c r="D21" s="3"/>
      <c r="E21" s="3" t="s">
        <v>233</v>
      </c>
      <c r="F21" s="3"/>
      <c r="G21" s="3">
        <v>100</v>
      </c>
      <c r="H21" s="3"/>
      <c r="I21" s="3"/>
      <c r="J21" s="6">
        <f t="shared" si="1"/>
        <v>14495</v>
      </c>
      <c r="K21" s="3" t="str">
        <f t="shared" si="0"/>
        <v>مقبول</v>
      </c>
      <c r="L21" s="3"/>
      <c r="M21" s="3"/>
      <c r="N21" s="3"/>
    </row>
    <row r="22" spans="1:14" x14ac:dyDescent="0.35">
      <c r="A22" s="3"/>
      <c r="B22" s="23">
        <v>46268</v>
      </c>
      <c r="C22" s="3"/>
      <c r="D22" s="3"/>
      <c r="E22" s="3" t="s">
        <v>236</v>
      </c>
      <c r="F22" s="3"/>
      <c r="G22" s="3">
        <v>3000</v>
      </c>
      <c r="H22" s="3"/>
      <c r="I22" s="3"/>
      <c r="J22" s="6">
        <f t="shared" si="1"/>
        <v>11495</v>
      </c>
      <c r="K22" s="3" t="str">
        <f t="shared" si="0"/>
        <v>مقبول</v>
      </c>
      <c r="L22" s="3"/>
      <c r="M22" s="3"/>
      <c r="N22" s="3"/>
    </row>
    <row r="23" spans="1:14" x14ac:dyDescent="0.35">
      <c r="A23" s="3"/>
      <c r="B23" s="23">
        <v>46268</v>
      </c>
      <c r="C23" s="3"/>
      <c r="D23" s="3"/>
      <c r="E23" s="3" t="s">
        <v>237</v>
      </c>
      <c r="F23" s="3"/>
      <c r="G23" s="3">
        <v>330</v>
      </c>
      <c r="H23" s="3"/>
      <c r="I23" s="3"/>
      <c r="J23" s="6">
        <f t="shared" si="1"/>
        <v>11165</v>
      </c>
      <c r="K23" s="3" t="str">
        <f t="shared" si="0"/>
        <v>مقبول</v>
      </c>
      <c r="L23" s="3"/>
      <c r="M23" s="3"/>
      <c r="N23" s="3"/>
    </row>
    <row r="24" spans="1:14" x14ac:dyDescent="0.35">
      <c r="A24" s="3"/>
      <c r="B24" s="23">
        <v>46268</v>
      </c>
      <c r="C24" s="3"/>
      <c r="D24" s="3"/>
      <c r="E24" s="3" t="s">
        <v>238</v>
      </c>
      <c r="F24" s="3"/>
      <c r="G24" s="3">
        <v>250</v>
      </c>
      <c r="H24" s="3"/>
      <c r="I24" s="3"/>
      <c r="J24" s="6">
        <f t="shared" si="1"/>
        <v>10915</v>
      </c>
      <c r="K24" s="3" t="str">
        <f t="shared" si="0"/>
        <v>مقبول</v>
      </c>
      <c r="L24" s="3"/>
      <c r="M24" s="3"/>
      <c r="N24" s="3"/>
    </row>
    <row r="25" spans="1:14" x14ac:dyDescent="0.35">
      <c r="A25" s="3"/>
      <c r="B25" s="23">
        <v>46268</v>
      </c>
      <c r="C25" s="3"/>
      <c r="D25" s="3"/>
      <c r="E25" s="3" t="s">
        <v>214</v>
      </c>
      <c r="F25" s="3"/>
      <c r="G25" s="3">
        <v>110</v>
      </c>
      <c r="H25" s="3"/>
      <c r="I25" s="3"/>
      <c r="J25" s="6">
        <f t="shared" si="1"/>
        <v>10805</v>
      </c>
      <c r="K25" s="3" t="str">
        <f t="shared" si="0"/>
        <v>مقبول</v>
      </c>
      <c r="L25" s="3"/>
      <c r="M25" s="3"/>
      <c r="N25" s="3"/>
    </row>
    <row r="26" spans="1:14" x14ac:dyDescent="0.35">
      <c r="A26" s="3"/>
      <c r="B26" s="23">
        <v>46269</v>
      </c>
      <c r="C26" s="3"/>
      <c r="D26" s="3"/>
      <c r="E26" s="3" t="s">
        <v>240</v>
      </c>
      <c r="F26" s="3"/>
      <c r="G26" s="3"/>
      <c r="H26" s="3">
        <v>497</v>
      </c>
      <c r="I26" s="3"/>
      <c r="J26" s="6">
        <f t="shared" si="1"/>
        <v>11302</v>
      </c>
      <c r="K26" s="3" t="str">
        <f t="shared" si="0"/>
        <v>مقبول</v>
      </c>
      <c r="L26" s="3" t="s">
        <v>242</v>
      </c>
      <c r="M26" s="3"/>
      <c r="N26" s="3"/>
    </row>
    <row r="27" spans="1:14" x14ac:dyDescent="0.35">
      <c r="A27" s="3"/>
      <c r="B27" s="23">
        <v>46269</v>
      </c>
      <c r="C27" s="3"/>
      <c r="D27" s="3"/>
      <c r="E27" s="3" t="s">
        <v>241</v>
      </c>
      <c r="F27" s="3"/>
      <c r="G27" s="3"/>
      <c r="H27" s="3">
        <v>1300</v>
      </c>
      <c r="I27" s="3"/>
      <c r="J27" s="6">
        <f t="shared" si="1"/>
        <v>12602</v>
      </c>
      <c r="K27" s="3" t="str">
        <f t="shared" si="0"/>
        <v>مقبول</v>
      </c>
      <c r="L27" s="3" t="s">
        <v>243</v>
      </c>
      <c r="M27" s="3"/>
      <c r="N27" s="3"/>
    </row>
    <row r="28" spans="1:14" x14ac:dyDescent="0.35">
      <c r="A28" s="3"/>
      <c r="B28" s="23">
        <v>46269</v>
      </c>
      <c r="C28" s="3"/>
      <c r="D28" s="3"/>
      <c r="E28" s="3" t="s">
        <v>244</v>
      </c>
      <c r="F28" s="3"/>
      <c r="G28" s="3">
        <v>200</v>
      </c>
      <c r="H28" s="3"/>
      <c r="I28" s="3"/>
      <c r="J28" s="6">
        <f t="shared" si="1"/>
        <v>12402</v>
      </c>
      <c r="K28" s="3" t="str">
        <f t="shared" si="0"/>
        <v>مقبول</v>
      </c>
      <c r="L28" s="3"/>
      <c r="M28" s="3"/>
      <c r="N28" s="3"/>
    </row>
    <row r="29" spans="1:14" x14ac:dyDescent="0.35">
      <c r="A29" s="3"/>
      <c r="B29" s="23">
        <v>46269</v>
      </c>
      <c r="C29" s="3"/>
      <c r="D29" s="3"/>
      <c r="E29" s="3" t="s">
        <v>122</v>
      </c>
      <c r="F29" s="3"/>
      <c r="G29" s="3"/>
      <c r="H29" s="3">
        <v>22800</v>
      </c>
      <c r="I29" s="3"/>
      <c r="J29" s="6">
        <f t="shared" si="1"/>
        <v>35202</v>
      </c>
      <c r="K29" s="3" t="str">
        <f t="shared" si="0"/>
        <v>مقبول</v>
      </c>
      <c r="L29" s="3"/>
      <c r="M29" s="3"/>
      <c r="N29" s="3"/>
    </row>
    <row r="30" spans="1:14" x14ac:dyDescent="0.35">
      <c r="A30" s="3"/>
      <c r="B30" s="23">
        <v>46270</v>
      </c>
      <c r="C30" s="3"/>
      <c r="D30" s="3"/>
      <c r="E30" s="3" t="s">
        <v>245</v>
      </c>
      <c r="F30" s="3"/>
      <c r="G30" s="3">
        <v>26750</v>
      </c>
      <c r="H30" s="3"/>
      <c r="I30" s="3"/>
      <c r="J30" s="6">
        <f t="shared" si="1"/>
        <v>8452</v>
      </c>
      <c r="K30" s="3" t="str">
        <f t="shared" si="0"/>
        <v>مقبول</v>
      </c>
      <c r="L30" s="3"/>
      <c r="M30" s="3"/>
      <c r="N30" s="3"/>
    </row>
    <row r="31" spans="1:14" x14ac:dyDescent="0.35">
      <c r="A31" s="3"/>
      <c r="B31" s="23">
        <v>46271</v>
      </c>
      <c r="C31" s="3"/>
      <c r="D31" s="3"/>
      <c r="E31" s="3" t="s">
        <v>246</v>
      </c>
      <c r="F31" s="3"/>
      <c r="G31" s="3">
        <v>5500</v>
      </c>
      <c r="H31" s="3"/>
      <c r="I31" s="3"/>
      <c r="J31" s="6">
        <f t="shared" si="1"/>
        <v>2952</v>
      </c>
      <c r="K31" s="3" t="str">
        <f t="shared" si="0"/>
        <v>مقبول</v>
      </c>
      <c r="L31" s="3"/>
      <c r="M31" s="3"/>
      <c r="N31" s="3"/>
    </row>
    <row r="32" spans="1:14" x14ac:dyDescent="0.35">
      <c r="A32" s="3"/>
      <c r="B32" s="23">
        <v>46273</v>
      </c>
      <c r="C32" s="3"/>
      <c r="D32" s="3"/>
      <c r="E32" s="3" t="s">
        <v>247</v>
      </c>
      <c r="F32" s="3"/>
      <c r="G32" s="3">
        <v>1000</v>
      </c>
      <c r="H32" s="3"/>
      <c r="I32" s="3"/>
      <c r="J32" s="6">
        <f t="shared" si="1"/>
        <v>1952</v>
      </c>
      <c r="K32" s="3" t="str">
        <f t="shared" si="0"/>
        <v>مقبول</v>
      </c>
      <c r="L32" s="3"/>
      <c r="M32" s="3"/>
      <c r="N32" s="3"/>
    </row>
    <row r="33" spans="1:14" x14ac:dyDescent="0.35">
      <c r="A33" s="3"/>
      <c r="B33" s="23">
        <v>46274</v>
      </c>
      <c r="C33" s="3"/>
      <c r="D33" s="3"/>
      <c r="E33" s="3" t="s">
        <v>248</v>
      </c>
      <c r="F33" s="3"/>
      <c r="G33" s="3"/>
      <c r="H33" s="3">
        <v>1300</v>
      </c>
      <c r="I33" s="3"/>
      <c r="J33" s="6">
        <f t="shared" si="1"/>
        <v>3252</v>
      </c>
      <c r="K33" s="3" t="str">
        <f t="shared" si="0"/>
        <v>مقبول</v>
      </c>
      <c r="L33" s="3"/>
      <c r="M33" s="3"/>
      <c r="N33" s="3"/>
    </row>
    <row r="34" spans="1:14" x14ac:dyDescent="0.35">
      <c r="A34" s="3"/>
      <c r="B34" s="23">
        <v>46274</v>
      </c>
      <c r="C34" s="3"/>
      <c r="D34" s="3"/>
      <c r="E34" s="3" t="s">
        <v>249</v>
      </c>
      <c r="F34" s="3"/>
      <c r="G34" s="3">
        <v>1000</v>
      </c>
      <c r="H34" s="3"/>
      <c r="I34" s="3"/>
      <c r="J34" s="6">
        <f>J33-G34+H34</f>
        <v>2252</v>
      </c>
      <c r="K34" s="3" t="str">
        <f t="shared" si="0"/>
        <v>مقبول</v>
      </c>
      <c r="L34" s="3"/>
      <c r="M34" s="3"/>
      <c r="N34" s="3"/>
    </row>
    <row r="35" spans="1:14" x14ac:dyDescent="0.35">
      <c r="A35" s="3"/>
      <c r="B35" s="23">
        <v>46275</v>
      </c>
      <c r="C35" s="3"/>
      <c r="D35" s="3"/>
      <c r="E35" s="3" t="s">
        <v>250</v>
      </c>
      <c r="F35" s="3"/>
      <c r="G35" s="3"/>
      <c r="H35" s="3">
        <v>1200</v>
      </c>
      <c r="I35" s="3"/>
      <c r="J35" s="6">
        <f t="shared" ref="J35:J98" si="2">J34-G35+H35</f>
        <v>3452</v>
      </c>
      <c r="K35" s="3"/>
      <c r="L35" s="3"/>
      <c r="M35" s="3"/>
      <c r="N35" s="3"/>
    </row>
    <row r="36" spans="1:14" ht="15" customHeight="1" x14ac:dyDescent="0.35">
      <c r="A36" s="3"/>
      <c r="B36" s="23">
        <v>46275</v>
      </c>
      <c r="C36" s="3"/>
      <c r="D36" s="3"/>
      <c r="E36" s="3" t="s">
        <v>251</v>
      </c>
      <c r="F36" s="3"/>
      <c r="G36" s="3">
        <v>80</v>
      </c>
      <c r="H36" s="3"/>
      <c r="I36" s="3"/>
      <c r="J36" s="6">
        <f t="shared" si="2"/>
        <v>3372</v>
      </c>
      <c r="K36" s="3"/>
      <c r="L36" s="3"/>
      <c r="M36" s="3"/>
      <c r="N36" s="3"/>
    </row>
    <row r="37" spans="1:14" x14ac:dyDescent="0.35">
      <c r="A37" s="3"/>
      <c r="B37" s="23">
        <v>46276</v>
      </c>
      <c r="C37" s="3"/>
      <c r="D37" s="3"/>
      <c r="E37" s="3" t="s">
        <v>252</v>
      </c>
      <c r="F37" s="3"/>
      <c r="G37" s="3">
        <v>130</v>
      </c>
      <c r="H37" s="3"/>
      <c r="I37" s="3"/>
      <c r="J37" s="6">
        <f t="shared" si="2"/>
        <v>3242</v>
      </c>
      <c r="K37" s="3"/>
      <c r="L37" s="3"/>
      <c r="M37" s="3"/>
      <c r="N37" s="3"/>
    </row>
    <row r="38" spans="1:14" x14ac:dyDescent="0.35">
      <c r="A38" s="3"/>
      <c r="B38" s="3"/>
      <c r="C38" s="3"/>
      <c r="D38" s="3"/>
      <c r="E38" s="3"/>
      <c r="F38" s="3"/>
      <c r="G38" s="3"/>
      <c r="H38" s="3"/>
      <c r="I38" s="3"/>
      <c r="J38" s="6">
        <f t="shared" si="2"/>
        <v>3242</v>
      </c>
      <c r="K38" s="3"/>
      <c r="L38" s="3"/>
    </row>
    <row r="39" spans="1:14" x14ac:dyDescent="0.35">
      <c r="A39" s="3"/>
      <c r="B39" s="3"/>
      <c r="C39" s="3"/>
      <c r="D39" s="3"/>
      <c r="E39" s="3"/>
      <c r="F39" s="3"/>
      <c r="G39" s="3"/>
      <c r="H39" s="3"/>
      <c r="I39" s="3"/>
      <c r="J39" s="6">
        <f t="shared" si="2"/>
        <v>3242</v>
      </c>
      <c r="K39" s="3"/>
      <c r="L39" s="3"/>
    </row>
    <row r="40" spans="1:14" x14ac:dyDescent="0.35">
      <c r="A40" s="3"/>
      <c r="B40" s="3"/>
      <c r="C40" s="3"/>
      <c r="D40" s="3"/>
      <c r="E40" s="3"/>
      <c r="F40" s="3"/>
      <c r="G40" s="3"/>
      <c r="H40" s="3"/>
      <c r="I40" s="3"/>
      <c r="J40" s="6">
        <f t="shared" si="2"/>
        <v>3242</v>
      </c>
      <c r="K40" s="3"/>
      <c r="L40" s="3"/>
    </row>
    <row r="41" spans="1:14" x14ac:dyDescent="0.35">
      <c r="A41" s="3"/>
      <c r="B41" s="3"/>
      <c r="C41" s="3"/>
      <c r="D41" s="3"/>
      <c r="E41" s="3"/>
      <c r="F41" s="3"/>
      <c r="G41" s="3"/>
      <c r="H41" s="3"/>
      <c r="I41" s="3"/>
      <c r="J41" s="6">
        <f t="shared" si="2"/>
        <v>3242</v>
      </c>
      <c r="K41" s="3"/>
      <c r="L41" s="3"/>
    </row>
    <row r="42" spans="1:14" x14ac:dyDescent="0.35">
      <c r="A42" s="3"/>
      <c r="B42" s="3"/>
      <c r="C42" s="3"/>
      <c r="D42" s="3"/>
      <c r="E42" s="3"/>
      <c r="F42" s="3"/>
      <c r="G42" s="3"/>
      <c r="H42" s="3"/>
      <c r="I42" s="3"/>
      <c r="J42" s="6">
        <f t="shared" si="2"/>
        <v>3242</v>
      </c>
      <c r="K42" s="3"/>
      <c r="L42" s="3"/>
    </row>
    <row r="43" spans="1:14" x14ac:dyDescent="0.35">
      <c r="A43" s="3"/>
      <c r="B43" s="3"/>
      <c r="C43" s="3"/>
      <c r="D43" s="3"/>
      <c r="E43" s="3"/>
      <c r="F43" s="3"/>
      <c r="G43" s="3"/>
      <c r="H43" s="3"/>
      <c r="I43" s="3"/>
      <c r="J43" s="6">
        <f t="shared" si="2"/>
        <v>3242</v>
      </c>
      <c r="K43" s="3"/>
      <c r="L43" s="3"/>
    </row>
    <row r="44" spans="1:14" x14ac:dyDescent="0.35">
      <c r="A44" s="3"/>
      <c r="B44" s="3"/>
      <c r="C44" s="3"/>
      <c r="D44" s="3"/>
      <c r="E44" s="3"/>
      <c r="F44" s="3"/>
      <c r="G44" s="3"/>
      <c r="H44" s="3"/>
      <c r="I44" s="3"/>
      <c r="J44" s="6">
        <f t="shared" si="2"/>
        <v>3242</v>
      </c>
      <c r="K44" s="3"/>
      <c r="L44" s="3"/>
    </row>
    <row r="45" spans="1:14" x14ac:dyDescent="0.35">
      <c r="A45" s="3"/>
      <c r="B45" s="3"/>
      <c r="C45" s="3"/>
      <c r="D45" s="3"/>
      <c r="E45" s="3"/>
      <c r="F45" s="3"/>
      <c r="G45" s="3"/>
      <c r="H45" s="3"/>
      <c r="I45" s="3"/>
      <c r="J45" s="6">
        <f t="shared" si="2"/>
        <v>3242</v>
      </c>
      <c r="K45" s="3"/>
      <c r="L45" s="3"/>
    </row>
    <row r="46" spans="1:14" x14ac:dyDescent="0.35">
      <c r="A46" s="3"/>
      <c r="B46" s="3"/>
      <c r="C46" s="3"/>
      <c r="D46" s="3"/>
      <c r="E46" s="3"/>
      <c r="F46" s="3"/>
      <c r="G46" s="3"/>
      <c r="H46" s="3"/>
      <c r="I46" s="3"/>
      <c r="J46" s="6">
        <f t="shared" si="2"/>
        <v>3242</v>
      </c>
      <c r="K46" s="3"/>
      <c r="L46" s="3"/>
    </row>
    <row r="47" spans="1:14" x14ac:dyDescent="0.35">
      <c r="A47" s="3"/>
      <c r="B47" s="3"/>
      <c r="C47" s="3"/>
      <c r="D47" s="3"/>
      <c r="E47" s="3"/>
      <c r="F47" s="3"/>
      <c r="G47" s="3"/>
      <c r="H47" s="3"/>
      <c r="I47" s="3"/>
      <c r="J47" s="6">
        <f t="shared" si="2"/>
        <v>3242</v>
      </c>
      <c r="K47" s="3"/>
      <c r="L47" s="3"/>
    </row>
    <row r="48" spans="1:14" x14ac:dyDescent="0.35">
      <c r="A48" s="3"/>
      <c r="B48" s="3"/>
      <c r="C48" s="3"/>
      <c r="D48" s="3"/>
      <c r="E48" s="3"/>
      <c r="F48" s="3"/>
      <c r="G48" s="3"/>
      <c r="H48" s="3"/>
      <c r="I48" s="3"/>
      <c r="J48" s="6">
        <f t="shared" si="2"/>
        <v>3242</v>
      </c>
      <c r="K48" s="3"/>
      <c r="L48" s="3"/>
    </row>
    <row r="49" spans="1:12" x14ac:dyDescent="0.35">
      <c r="A49" s="3"/>
      <c r="B49" s="3"/>
      <c r="C49" s="3"/>
      <c r="D49" s="3"/>
      <c r="E49" s="3"/>
      <c r="F49" s="3"/>
      <c r="G49" s="3"/>
      <c r="H49" s="3"/>
      <c r="I49" s="3"/>
      <c r="J49" s="6">
        <f t="shared" si="2"/>
        <v>3242</v>
      </c>
      <c r="K49" s="3"/>
      <c r="L49" s="3"/>
    </row>
    <row r="50" spans="1:12" x14ac:dyDescent="0.35">
      <c r="A50" s="3"/>
      <c r="B50" s="3"/>
      <c r="C50" s="3"/>
      <c r="D50" s="3"/>
      <c r="E50" s="3"/>
      <c r="F50" s="3"/>
      <c r="G50" s="3"/>
      <c r="H50" s="3"/>
      <c r="I50" s="3"/>
      <c r="J50" s="6">
        <f t="shared" si="2"/>
        <v>3242</v>
      </c>
      <c r="K50" s="3"/>
      <c r="L50" s="3"/>
    </row>
    <row r="51" spans="1:12" x14ac:dyDescent="0.35">
      <c r="A51" s="3"/>
      <c r="B51" s="3"/>
      <c r="C51" s="3"/>
      <c r="D51" s="3"/>
      <c r="E51" s="3"/>
      <c r="F51" s="3"/>
      <c r="G51" s="3"/>
      <c r="H51" s="3"/>
      <c r="I51" s="3"/>
      <c r="J51" s="6">
        <f t="shared" si="2"/>
        <v>3242</v>
      </c>
      <c r="K51" s="3"/>
      <c r="L51" s="3"/>
    </row>
    <row r="52" spans="1:12" x14ac:dyDescent="0.35">
      <c r="A52" s="3"/>
      <c r="B52" s="3"/>
      <c r="C52" s="3"/>
      <c r="D52" s="3"/>
      <c r="E52" s="3"/>
      <c r="F52" s="3"/>
      <c r="G52" s="3"/>
      <c r="H52" s="3"/>
      <c r="I52" s="3"/>
      <c r="J52" s="6">
        <f t="shared" si="2"/>
        <v>3242</v>
      </c>
      <c r="K52" s="3"/>
      <c r="L52" s="3"/>
    </row>
    <row r="53" spans="1:12" x14ac:dyDescent="0.35">
      <c r="A53" s="3"/>
      <c r="B53" s="3"/>
      <c r="C53" s="3"/>
      <c r="D53" s="3"/>
      <c r="E53" s="3"/>
      <c r="F53" s="3"/>
      <c r="G53" s="3"/>
      <c r="H53" s="3"/>
      <c r="I53" s="3"/>
      <c r="J53" s="6">
        <f t="shared" si="2"/>
        <v>3242</v>
      </c>
      <c r="K53" s="3"/>
      <c r="L53" s="3"/>
    </row>
    <row r="54" spans="1:12" x14ac:dyDescent="0.35">
      <c r="A54" s="3"/>
      <c r="B54" s="3"/>
      <c r="C54" s="3"/>
      <c r="D54" s="3"/>
      <c r="E54" s="3"/>
      <c r="F54" s="3"/>
      <c r="G54" s="3"/>
      <c r="H54" s="3"/>
      <c r="I54" s="3"/>
      <c r="J54" s="6">
        <f t="shared" si="2"/>
        <v>3242</v>
      </c>
      <c r="K54" s="3"/>
      <c r="L54" s="3"/>
    </row>
    <row r="55" spans="1:12" x14ac:dyDescent="0.35">
      <c r="A55" s="3"/>
      <c r="B55" s="3"/>
      <c r="C55" s="3"/>
      <c r="D55" s="3"/>
      <c r="E55" s="3"/>
      <c r="F55" s="3"/>
      <c r="G55" s="3"/>
      <c r="H55" s="3"/>
      <c r="I55" s="3"/>
      <c r="J55" s="6">
        <f t="shared" si="2"/>
        <v>3242</v>
      </c>
      <c r="K55" s="3"/>
      <c r="L55" s="3"/>
    </row>
    <row r="56" spans="1:12" x14ac:dyDescent="0.35">
      <c r="A56" s="3"/>
      <c r="B56" s="3"/>
      <c r="C56" s="3"/>
      <c r="D56" s="3"/>
      <c r="E56" s="3"/>
      <c r="F56" s="3"/>
      <c r="G56" s="3"/>
      <c r="H56" s="3"/>
      <c r="I56" s="3"/>
      <c r="J56" s="6">
        <f t="shared" si="2"/>
        <v>3242</v>
      </c>
      <c r="K56" s="3"/>
      <c r="L56" s="3"/>
    </row>
    <row r="57" spans="1:12" x14ac:dyDescent="0.35">
      <c r="A57" s="3"/>
      <c r="B57" s="3"/>
      <c r="C57" s="3"/>
      <c r="D57" s="3"/>
      <c r="E57" s="3"/>
      <c r="F57" s="3"/>
      <c r="G57" s="3"/>
      <c r="H57" s="3"/>
      <c r="I57" s="3"/>
      <c r="J57" s="6">
        <f t="shared" si="2"/>
        <v>3242</v>
      </c>
      <c r="K57" s="3"/>
      <c r="L57" s="3"/>
    </row>
    <row r="58" spans="1:12" x14ac:dyDescent="0.35">
      <c r="A58" s="3"/>
      <c r="B58" s="3"/>
      <c r="C58" s="3"/>
      <c r="D58" s="3"/>
      <c r="E58" s="3"/>
      <c r="F58" s="3"/>
      <c r="G58" s="3"/>
      <c r="H58" s="3"/>
      <c r="I58" s="3"/>
      <c r="J58" s="6">
        <f t="shared" si="2"/>
        <v>3242</v>
      </c>
      <c r="K58" s="3"/>
      <c r="L58" s="3"/>
    </row>
    <row r="59" spans="1:12" x14ac:dyDescent="0.35">
      <c r="A59" s="3"/>
      <c r="B59" s="3"/>
      <c r="C59" s="3"/>
      <c r="D59" s="3"/>
      <c r="E59" s="3"/>
      <c r="F59" s="3"/>
      <c r="G59" s="3"/>
      <c r="H59" s="3"/>
      <c r="I59" s="3"/>
      <c r="J59" s="6">
        <f t="shared" si="2"/>
        <v>3242</v>
      </c>
      <c r="K59" s="3"/>
      <c r="L59" s="3"/>
    </row>
    <row r="60" spans="1:12" x14ac:dyDescent="0.35">
      <c r="A60" s="3"/>
      <c r="B60" s="3"/>
      <c r="C60" s="3"/>
      <c r="D60" s="3"/>
      <c r="E60" s="3"/>
      <c r="F60" s="3"/>
      <c r="G60" s="3"/>
      <c r="H60" s="3"/>
      <c r="I60" s="3"/>
      <c r="J60" s="6">
        <f t="shared" si="2"/>
        <v>3242</v>
      </c>
      <c r="K60" s="3"/>
      <c r="L60" s="3"/>
    </row>
    <row r="61" spans="1:12" x14ac:dyDescent="0.35">
      <c r="A61" s="3"/>
      <c r="B61" s="3"/>
      <c r="C61" s="3"/>
      <c r="D61" s="3"/>
      <c r="E61" s="3"/>
      <c r="F61" s="3"/>
      <c r="G61" s="3"/>
      <c r="H61" s="3"/>
      <c r="I61" s="3"/>
      <c r="J61" s="6">
        <f t="shared" si="2"/>
        <v>3242</v>
      </c>
      <c r="K61" s="3"/>
      <c r="L61" s="3"/>
    </row>
    <row r="62" spans="1:12" x14ac:dyDescent="0.35">
      <c r="A62" s="3"/>
      <c r="B62" s="3"/>
      <c r="C62" s="3"/>
      <c r="D62" s="3"/>
      <c r="E62" s="3"/>
      <c r="F62" s="3"/>
      <c r="G62" s="3"/>
      <c r="H62" s="3"/>
      <c r="I62" s="3"/>
      <c r="J62" s="6">
        <f t="shared" si="2"/>
        <v>3242</v>
      </c>
      <c r="K62" s="3"/>
      <c r="L62" s="3"/>
    </row>
    <row r="63" spans="1:12" x14ac:dyDescent="0.35">
      <c r="A63" s="3"/>
      <c r="B63" s="3"/>
      <c r="C63" s="3"/>
      <c r="D63" s="3"/>
      <c r="E63" s="3"/>
      <c r="F63" s="3"/>
      <c r="G63" s="3"/>
      <c r="H63" s="3"/>
      <c r="I63" s="3"/>
      <c r="J63" s="6">
        <f t="shared" si="2"/>
        <v>3242</v>
      </c>
      <c r="K63" s="3"/>
      <c r="L63" s="3"/>
    </row>
    <row r="64" spans="1:12" x14ac:dyDescent="0.35">
      <c r="A64" s="3"/>
      <c r="B64" s="3"/>
      <c r="C64" s="3"/>
      <c r="D64" s="3"/>
      <c r="E64" s="3"/>
      <c r="F64" s="3"/>
      <c r="G64" s="3"/>
      <c r="H64" s="3"/>
      <c r="I64" s="3"/>
      <c r="J64" s="6">
        <f t="shared" si="2"/>
        <v>3242</v>
      </c>
      <c r="K64" s="3"/>
      <c r="L64" s="3"/>
    </row>
    <row r="65" spans="1:12" x14ac:dyDescent="0.35">
      <c r="A65" s="3"/>
      <c r="B65" s="3"/>
      <c r="C65" s="3"/>
      <c r="D65" s="3"/>
      <c r="E65" s="3"/>
      <c r="F65" s="3"/>
      <c r="G65" s="3"/>
      <c r="H65" s="3"/>
      <c r="I65" s="3"/>
      <c r="J65" s="6">
        <f t="shared" si="2"/>
        <v>3242</v>
      </c>
      <c r="K65" s="3"/>
      <c r="L65" s="3"/>
    </row>
    <row r="66" spans="1:12" x14ac:dyDescent="0.35">
      <c r="A66" s="3"/>
      <c r="B66" s="3"/>
      <c r="C66" s="3"/>
      <c r="D66" s="3"/>
      <c r="E66" s="3"/>
      <c r="F66" s="3"/>
      <c r="G66" s="3"/>
      <c r="H66" s="3"/>
      <c r="I66" s="3"/>
      <c r="J66" s="6">
        <f t="shared" si="2"/>
        <v>3242</v>
      </c>
      <c r="K66" s="3"/>
      <c r="L66" s="3"/>
    </row>
    <row r="67" spans="1:12" x14ac:dyDescent="0.35">
      <c r="A67" s="3"/>
      <c r="B67" s="3"/>
      <c r="C67" s="3"/>
      <c r="D67" s="3"/>
      <c r="E67" s="3"/>
      <c r="F67" s="3"/>
      <c r="G67" s="3"/>
      <c r="H67" s="3"/>
      <c r="I67" s="3"/>
      <c r="J67" s="6">
        <f t="shared" si="2"/>
        <v>3242</v>
      </c>
      <c r="K67" s="3"/>
      <c r="L67" s="3"/>
    </row>
    <row r="68" spans="1:12" x14ac:dyDescent="0.35">
      <c r="A68" s="3"/>
      <c r="B68" s="3"/>
      <c r="C68" s="3"/>
      <c r="D68" s="3"/>
      <c r="E68" s="3"/>
      <c r="F68" s="3"/>
      <c r="G68" s="3"/>
      <c r="H68" s="3"/>
      <c r="I68" s="3"/>
      <c r="J68" s="6">
        <f t="shared" si="2"/>
        <v>3242</v>
      </c>
      <c r="K68" s="3"/>
      <c r="L68" s="3"/>
    </row>
    <row r="69" spans="1:12" x14ac:dyDescent="0.35">
      <c r="A69" s="3"/>
      <c r="B69" s="3"/>
      <c r="C69" s="3"/>
      <c r="D69" s="3"/>
      <c r="E69" s="3"/>
      <c r="F69" s="3"/>
      <c r="G69" s="3"/>
      <c r="H69" s="3"/>
      <c r="I69" s="3"/>
      <c r="J69" s="6">
        <f t="shared" si="2"/>
        <v>3242</v>
      </c>
      <c r="K69" s="3"/>
      <c r="L69" s="3"/>
    </row>
    <row r="70" spans="1:12" x14ac:dyDescent="0.35">
      <c r="A70" s="3"/>
      <c r="B70" s="3"/>
      <c r="C70" s="3"/>
      <c r="D70" s="3"/>
      <c r="E70" s="3"/>
      <c r="F70" s="3"/>
      <c r="G70" s="3"/>
      <c r="H70" s="3"/>
      <c r="I70" s="3"/>
      <c r="J70" s="6">
        <f t="shared" si="2"/>
        <v>3242</v>
      </c>
      <c r="K70" s="3"/>
      <c r="L70" s="3"/>
    </row>
    <row r="71" spans="1:12" x14ac:dyDescent="0.35">
      <c r="A71" s="3"/>
      <c r="B71" s="3"/>
      <c r="C71" s="3"/>
      <c r="D71" s="3"/>
      <c r="E71" s="3"/>
      <c r="F71" s="3"/>
      <c r="G71" s="3"/>
      <c r="H71" s="3"/>
      <c r="I71" s="3"/>
      <c r="J71" s="6">
        <f t="shared" si="2"/>
        <v>3242</v>
      </c>
      <c r="K71" s="3"/>
      <c r="L71" s="3"/>
    </row>
    <row r="72" spans="1:12" x14ac:dyDescent="0.35">
      <c r="A72" s="3"/>
      <c r="B72" s="3"/>
      <c r="C72" s="3"/>
      <c r="D72" s="3"/>
      <c r="E72" s="3"/>
      <c r="F72" s="3"/>
      <c r="G72" s="3"/>
      <c r="H72" s="3"/>
      <c r="I72" s="3"/>
      <c r="J72" s="6">
        <f t="shared" si="2"/>
        <v>3242</v>
      </c>
      <c r="K72" s="3"/>
      <c r="L72" s="3"/>
    </row>
    <row r="73" spans="1:12" x14ac:dyDescent="0.35">
      <c r="A73" s="3"/>
      <c r="B73" s="3"/>
      <c r="C73" s="3"/>
      <c r="D73" s="3"/>
      <c r="E73" s="3"/>
      <c r="F73" s="3"/>
      <c r="G73" s="3"/>
      <c r="H73" s="3"/>
      <c r="I73" s="3"/>
      <c r="J73" s="6">
        <f t="shared" si="2"/>
        <v>3242</v>
      </c>
      <c r="K73" s="3"/>
      <c r="L73" s="3"/>
    </row>
    <row r="74" spans="1:12" x14ac:dyDescent="0.35">
      <c r="A74" s="3"/>
      <c r="B74" s="3"/>
      <c r="C74" s="3"/>
      <c r="D74" s="3"/>
      <c r="E74" s="3"/>
      <c r="F74" s="3"/>
      <c r="G74" s="3"/>
      <c r="H74" s="3"/>
      <c r="I74" s="3"/>
      <c r="J74" s="6">
        <f t="shared" si="2"/>
        <v>3242</v>
      </c>
      <c r="K74" s="3"/>
      <c r="L74" s="3"/>
    </row>
    <row r="75" spans="1:12" x14ac:dyDescent="0.35">
      <c r="A75" s="3"/>
      <c r="B75" s="3"/>
      <c r="C75" s="3"/>
      <c r="D75" s="3"/>
      <c r="E75" s="3"/>
      <c r="F75" s="3"/>
      <c r="G75" s="3"/>
      <c r="H75" s="3"/>
      <c r="I75" s="3"/>
      <c r="J75" s="6">
        <f t="shared" si="2"/>
        <v>3242</v>
      </c>
      <c r="K75" s="3"/>
      <c r="L75" s="3"/>
    </row>
    <row r="76" spans="1:12" x14ac:dyDescent="0.35">
      <c r="A76" s="3"/>
      <c r="B76" s="3"/>
      <c r="C76" s="3"/>
      <c r="D76" s="3"/>
      <c r="E76" s="3"/>
      <c r="F76" s="3"/>
      <c r="G76" s="3"/>
      <c r="H76" s="3"/>
      <c r="I76" s="3"/>
      <c r="J76" s="6">
        <f t="shared" si="2"/>
        <v>3242</v>
      </c>
      <c r="K76" s="3"/>
      <c r="L76" s="3"/>
    </row>
    <row r="77" spans="1:12" x14ac:dyDescent="0.35">
      <c r="A77" s="3"/>
      <c r="B77" s="3"/>
      <c r="C77" s="3"/>
      <c r="D77" s="3"/>
      <c r="E77" s="3"/>
      <c r="F77" s="3"/>
      <c r="G77" s="3"/>
      <c r="H77" s="3"/>
      <c r="I77" s="3"/>
      <c r="J77" s="6">
        <f t="shared" si="2"/>
        <v>3242</v>
      </c>
      <c r="K77" s="3"/>
      <c r="L77" s="3"/>
    </row>
    <row r="78" spans="1:12" x14ac:dyDescent="0.35">
      <c r="A78" s="3"/>
      <c r="B78" s="3"/>
      <c r="C78" s="3"/>
      <c r="D78" s="3"/>
      <c r="E78" s="3"/>
      <c r="F78" s="3"/>
      <c r="G78" s="3"/>
      <c r="H78" s="3"/>
      <c r="I78" s="3"/>
      <c r="J78" s="6">
        <f t="shared" si="2"/>
        <v>3242</v>
      </c>
      <c r="K78" s="3"/>
      <c r="L78" s="3"/>
    </row>
    <row r="79" spans="1:12" x14ac:dyDescent="0.35">
      <c r="A79" s="3"/>
      <c r="B79" s="3"/>
      <c r="C79" s="3"/>
      <c r="D79" s="3"/>
      <c r="E79" s="3"/>
      <c r="F79" s="3"/>
      <c r="G79" s="3"/>
      <c r="H79" s="3"/>
      <c r="I79" s="3"/>
      <c r="J79" s="6">
        <f t="shared" si="2"/>
        <v>3242</v>
      </c>
      <c r="K79" s="3"/>
      <c r="L79" s="3"/>
    </row>
    <row r="80" spans="1:12" x14ac:dyDescent="0.35">
      <c r="A80" s="3"/>
      <c r="B80" s="3"/>
      <c r="C80" s="3"/>
      <c r="D80" s="3"/>
      <c r="E80" s="3"/>
      <c r="F80" s="3"/>
      <c r="G80" s="3"/>
      <c r="H80" s="3"/>
      <c r="I80" s="3"/>
      <c r="J80" s="6">
        <f t="shared" si="2"/>
        <v>3242</v>
      </c>
      <c r="K80" s="3"/>
      <c r="L80" s="3"/>
    </row>
    <row r="81" spans="1:12" x14ac:dyDescent="0.35">
      <c r="A81" s="3"/>
      <c r="B81" s="3"/>
      <c r="C81" s="3"/>
      <c r="D81" s="3"/>
      <c r="E81" s="3"/>
      <c r="F81" s="3"/>
      <c r="G81" s="3"/>
      <c r="H81" s="3"/>
      <c r="I81" s="3"/>
      <c r="J81" s="6">
        <f t="shared" si="2"/>
        <v>3242</v>
      </c>
      <c r="K81" s="3"/>
      <c r="L81" s="3"/>
    </row>
    <row r="82" spans="1:12" x14ac:dyDescent="0.35">
      <c r="A82" s="3"/>
      <c r="B82" s="3"/>
      <c r="C82" s="3"/>
      <c r="D82" s="3"/>
      <c r="E82" s="3"/>
      <c r="F82" s="3"/>
      <c r="G82" s="3"/>
      <c r="H82" s="3"/>
      <c r="I82" s="3"/>
      <c r="J82" s="6">
        <f t="shared" si="2"/>
        <v>3242</v>
      </c>
      <c r="K82" s="3"/>
      <c r="L82" s="3"/>
    </row>
    <row r="83" spans="1:12" x14ac:dyDescent="0.35">
      <c r="A83" s="3"/>
      <c r="B83" s="3"/>
      <c r="C83" s="3"/>
      <c r="D83" s="3"/>
      <c r="E83" s="3"/>
      <c r="F83" s="3"/>
      <c r="G83" s="3"/>
      <c r="H83" s="3"/>
      <c r="I83" s="3"/>
      <c r="J83" s="6">
        <f t="shared" si="2"/>
        <v>3242</v>
      </c>
      <c r="K83" s="3"/>
      <c r="L83" s="3"/>
    </row>
    <row r="84" spans="1:12" x14ac:dyDescent="0.35">
      <c r="A84" s="3"/>
      <c r="B84" s="3"/>
      <c r="C84" s="3"/>
      <c r="D84" s="3"/>
      <c r="E84" s="3"/>
      <c r="F84" s="3"/>
      <c r="G84" s="3"/>
      <c r="H84" s="3"/>
      <c r="I84" s="3"/>
      <c r="J84" s="6">
        <f t="shared" si="2"/>
        <v>3242</v>
      </c>
      <c r="K84" s="3"/>
      <c r="L84" s="3"/>
    </row>
    <row r="85" spans="1:12" x14ac:dyDescent="0.35">
      <c r="A85" s="3"/>
      <c r="B85" s="3"/>
      <c r="C85" s="3"/>
      <c r="D85" s="3"/>
      <c r="E85" s="3"/>
      <c r="F85" s="3"/>
      <c r="G85" s="3"/>
      <c r="H85" s="3"/>
      <c r="I85" s="3"/>
      <c r="J85" s="6">
        <f t="shared" si="2"/>
        <v>3242</v>
      </c>
      <c r="K85" s="3"/>
      <c r="L85" s="3"/>
    </row>
    <row r="86" spans="1:12" x14ac:dyDescent="0.35">
      <c r="A86" s="3"/>
      <c r="B86" s="3"/>
      <c r="C86" s="3"/>
      <c r="D86" s="3"/>
      <c r="E86" s="3"/>
      <c r="F86" s="3"/>
      <c r="G86" s="3"/>
      <c r="H86" s="3"/>
      <c r="I86" s="3"/>
      <c r="J86" s="6">
        <f t="shared" si="2"/>
        <v>3242</v>
      </c>
      <c r="K86" s="3"/>
      <c r="L86" s="3"/>
    </row>
    <row r="87" spans="1:12" x14ac:dyDescent="0.35">
      <c r="A87" s="3"/>
      <c r="B87" s="3"/>
      <c r="C87" s="3"/>
      <c r="D87" s="3"/>
      <c r="E87" s="3"/>
      <c r="F87" s="3"/>
      <c r="G87" s="3"/>
      <c r="H87" s="3"/>
      <c r="I87" s="3"/>
      <c r="J87" s="6">
        <f t="shared" si="2"/>
        <v>3242</v>
      </c>
      <c r="K87" s="3"/>
      <c r="L87" s="3"/>
    </row>
    <row r="88" spans="1:12" x14ac:dyDescent="0.35">
      <c r="A88" s="3"/>
      <c r="B88" s="3"/>
      <c r="C88" s="3"/>
      <c r="D88" s="3"/>
      <c r="E88" s="3"/>
      <c r="F88" s="3"/>
      <c r="G88" s="3"/>
      <c r="H88" s="3"/>
      <c r="I88" s="3"/>
      <c r="J88" s="6">
        <f t="shared" si="2"/>
        <v>3242</v>
      </c>
      <c r="K88" s="3"/>
      <c r="L88" s="3"/>
    </row>
    <row r="89" spans="1:12" x14ac:dyDescent="0.35">
      <c r="A89" s="3"/>
      <c r="B89" s="3"/>
      <c r="C89" s="3"/>
      <c r="D89" s="3"/>
      <c r="E89" s="3"/>
      <c r="F89" s="3"/>
      <c r="G89" s="3"/>
      <c r="H89" s="3"/>
      <c r="I89" s="3"/>
      <c r="J89" s="6">
        <f t="shared" si="2"/>
        <v>3242</v>
      </c>
      <c r="K89" s="3"/>
      <c r="L89" s="3"/>
    </row>
    <row r="90" spans="1:12" x14ac:dyDescent="0.35">
      <c r="A90" s="3"/>
      <c r="B90" s="3"/>
      <c r="C90" s="3"/>
      <c r="D90" s="3"/>
      <c r="E90" s="3"/>
      <c r="F90" s="3"/>
      <c r="G90" s="3"/>
      <c r="H90" s="3"/>
      <c r="I90" s="3"/>
      <c r="J90" s="6">
        <f t="shared" si="2"/>
        <v>3242</v>
      </c>
      <c r="K90" s="3"/>
      <c r="L90" s="3"/>
    </row>
    <row r="91" spans="1:12" x14ac:dyDescent="0.35">
      <c r="A91" s="3"/>
      <c r="B91" s="3"/>
      <c r="C91" s="3"/>
      <c r="D91" s="3"/>
      <c r="E91" s="3"/>
      <c r="F91" s="3"/>
      <c r="G91" s="3"/>
      <c r="H91" s="3"/>
      <c r="I91" s="3"/>
      <c r="J91" s="6">
        <f t="shared" si="2"/>
        <v>3242</v>
      </c>
      <c r="K91" s="3"/>
      <c r="L91" s="3"/>
    </row>
    <row r="92" spans="1:12" x14ac:dyDescent="0.35">
      <c r="A92" s="3"/>
      <c r="B92" s="3"/>
      <c r="C92" s="3"/>
      <c r="D92" s="3"/>
      <c r="E92" s="3"/>
      <c r="F92" s="3"/>
      <c r="G92" s="3"/>
      <c r="H92" s="3"/>
      <c r="I92" s="3"/>
      <c r="J92" s="6">
        <f t="shared" si="2"/>
        <v>3242</v>
      </c>
      <c r="K92" s="3"/>
      <c r="L92" s="3"/>
    </row>
    <row r="93" spans="1:12" x14ac:dyDescent="0.35">
      <c r="A93" s="3"/>
      <c r="B93" s="3"/>
      <c r="C93" s="3"/>
      <c r="D93" s="3"/>
      <c r="E93" s="3"/>
      <c r="F93" s="3"/>
      <c r="G93" s="3"/>
      <c r="H93" s="3"/>
      <c r="I93" s="3"/>
      <c r="J93" s="6">
        <f t="shared" si="2"/>
        <v>3242</v>
      </c>
      <c r="K93" s="3"/>
      <c r="L93" s="3"/>
    </row>
    <row r="94" spans="1:12" x14ac:dyDescent="0.35">
      <c r="A94" s="3"/>
      <c r="B94" s="3"/>
      <c r="C94" s="3"/>
      <c r="D94" s="3"/>
      <c r="E94" s="3"/>
      <c r="F94" s="3"/>
      <c r="G94" s="3"/>
      <c r="H94" s="3"/>
      <c r="I94" s="3"/>
      <c r="J94" s="6">
        <f t="shared" si="2"/>
        <v>3242</v>
      </c>
      <c r="K94" s="3"/>
      <c r="L94" s="3"/>
    </row>
    <row r="95" spans="1:12" x14ac:dyDescent="0.35">
      <c r="A95" s="3"/>
      <c r="B95" s="3"/>
      <c r="C95" s="3"/>
      <c r="D95" s="3"/>
      <c r="E95" s="3"/>
      <c r="F95" s="3"/>
      <c r="G95" s="3"/>
      <c r="H95" s="3"/>
      <c r="I95" s="3"/>
      <c r="J95" s="6">
        <f t="shared" si="2"/>
        <v>3242</v>
      </c>
      <c r="K95" s="3"/>
      <c r="L95" s="3"/>
    </row>
    <row r="96" spans="1:12" x14ac:dyDescent="0.35">
      <c r="A96" s="3"/>
      <c r="B96" s="3"/>
      <c r="C96" s="3"/>
      <c r="D96" s="3"/>
      <c r="E96" s="3"/>
      <c r="F96" s="3"/>
      <c r="G96" s="3"/>
      <c r="H96" s="3"/>
      <c r="I96" s="3"/>
      <c r="J96" s="6">
        <f t="shared" si="2"/>
        <v>3242</v>
      </c>
      <c r="K96" s="3"/>
      <c r="L96" s="3"/>
    </row>
    <row r="97" spans="1:12" x14ac:dyDescent="0.35">
      <c r="A97" s="3"/>
      <c r="B97" s="3"/>
      <c r="C97" s="3"/>
      <c r="D97" s="3"/>
      <c r="E97" s="3"/>
      <c r="F97" s="3"/>
      <c r="G97" s="3"/>
      <c r="H97" s="3"/>
      <c r="I97" s="3"/>
      <c r="J97" s="6">
        <f t="shared" si="2"/>
        <v>3242</v>
      </c>
      <c r="K97" s="3"/>
      <c r="L97" s="3"/>
    </row>
    <row r="98" spans="1:12" x14ac:dyDescent="0.35">
      <c r="A98" s="3"/>
      <c r="B98" s="3"/>
      <c r="C98" s="3"/>
      <c r="D98" s="3"/>
      <c r="E98" s="3"/>
      <c r="F98" s="3"/>
      <c r="G98" s="3"/>
      <c r="H98" s="3"/>
      <c r="I98" s="3"/>
      <c r="J98" s="6">
        <f t="shared" si="2"/>
        <v>3242</v>
      </c>
      <c r="K98" s="3"/>
      <c r="L98" s="3"/>
    </row>
    <row r="99" spans="1:12" x14ac:dyDescent="0.35">
      <c r="A99" s="3"/>
      <c r="B99" s="3"/>
      <c r="C99" s="3"/>
      <c r="D99" s="3"/>
      <c r="E99" s="3"/>
      <c r="F99" s="3"/>
      <c r="G99" s="3"/>
      <c r="H99" s="3"/>
      <c r="I99" s="3"/>
      <c r="J99" s="6">
        <f t="shared" ref="J99:J129" si="3">J98-G99+H99</f>
        <v>3242</v>
      </c>
      <c r="K99" s="3"/>
      <c r="L99" s="3"/>
    </row>
    <row r="100" spans="1:12" x14ac:dyDescent="0.35">
      <c r="A100" s="3"/>
      <c r="B100" s="3"/>
      <c r="C100" s="3"/>
      <c r="D100" s="3"/>
      <c r="E100" s="3"/>
      <c r="F100" s="3"/>
      <c r="G100" s="3"/>
      <c r="H100" s="3"/>
      <c r="I100" s="3"/>
      <c r="J100" s="6">
        <f t="shared" si="3"/>
        <v>3242</v>
      </c>
      <c r="K100" s="3"/>
      <c r="L100" s="3"/>
    </row>
    <row r="101" spans="1:12" x14ac:dyDescent="0.35">
      <c r="A101" s="3"/>
      <c r="B101" s="3"/>
      <c r="C101" s="3"/>
      <c r="D101" s="3"/>
      <c r="E101" s="3"/>
      <c r="F101" s="3"/>
      <c r="G101" s="3"/>
      <c r="H101" s="3"/>
      <c r="I101" s="3"/>
      <c r="J101" s="6">
        <f t="shared" si="3"/>
        <v>3242</v>
      </c>
      <c r="K101" s="3"/>
      <c r="L101" s="3"/>
    </row>
    <row r="102" spans="1:12" x14ac:dyDescent="0.35">
      <c r="A102" s="3"/>
      <c r="B102" s="3"/>
      <c r="C102" s="3"/>
      <c r="D102" s="3"/>
      <c r="E102" s="3"/>
      <c r="F102" s="3"/>
      <c r="G102" s="3"/>
      <c r="H102" s="3"/>
      <c r="I102" s="3"/>
      <c r="J102" s="6">
        <f t="shared" si="3"/>
        <v>3242</v>
      </c>
      <c r="K102" s="3"/>
      <c r="L102" s="3"/>
    </row>
    <row r="103" spans="1:12" x14ac:dyDescent="0.35">
      <c r="A103" s="3"/>
      <c r="B103" s="3"/>
      <c r="C103" s="3"/>
      <c r="D103" s="3"/>
      <c r="E103" s="3"/>
      <c r="F103" s="3"/>
      <c r="G103" s="3"/>
      <c r="H103" s="3"/>
      <c r="I103" s="3"/>
      <c r="J103" s="6">
        <f t="shared" si="3"/>
        <v>3242</v>
      </c>
      <c r="K103" s="3"/>
      <c r="L103" s="3"/>
    </row>
    <row r="104" spans="1:12" x14ac:dyDescent="0.35">
      <c r="A104" s="3"/>
      <c r="B104" s="3"/>
      <c r="C104" s="3"/>
      <c r="D104" s="3"/>
      <c r="E104" s="3"/>
      <c r="F104" s="3"/>
      <c r="G104" s="3"/>
      <c r="H104" s="3"/>
      <c r="I104" s="3"/>
      <c r="J104" s="6">
        <f t="shared" si="3"/>
        <v>3242</v>
      </c>
      <c r="K104" s="3"/>
      <c r="L104" s="3"/>
    </row>
    <row r="105" spans="1:12" x14ac:dyDescent="0.35">
      <c r="A105" s="3"/>
      <c r="B105" s="3"/>
      <c r="C105" s="3"/>
      <c r="D105" s="3"/>
      <c r="E105" s="3"/>
      <c r="F105" s="3"/>
      <c r="G105" s="3"/>
      <c r="H105" s="3"/>
      <c r="I105" s="3"/>
      <c r="J105" s="6">
        <f t="shared" si="3"/>
        <v>3242</v>
      </c>
      <c r="K105" s="3"/>
      <c r="L105" s="3"/>
    </row>
    <row r="106" spans="1:12" x14ac:dyDescent="0.35">
      <c r="A106" s="3"/>
      <c r="B106" s="3"/>
      <c r="C106" s="3"/>
      <c r="D106" s="3"/>
      <c r="E106" s="3"/>
      <c r="F106" s="3"/>
      <c r="G106" s="3"/>
      <c r="H106" s="3"/>
      <c r="I106" s="3"/>
      <c r="J106" s="6">
        <f t="shared" si="3"/>
        <v>3242</v>
      </c>
      <c r="K106" s="3"/>
      <c r="L106" s="3"/>
    </row>
    <row r="107" spans="1:12" x14ac:dyDescent="0.35">
      <c r="A107" s="3"/>
      <c r="B107" s="3"/>
      <c r="C107" s="3"/>
      <c r="D107" s="3"/>
      <c r="E107" s="3"/>
      <c r="F107" s="3"/>
      <c r="G107" s="3"/>
      <c r="H107" s="3"/>
      <c r="I107" s="3"/>
      <c r="J107" s="6">
        <f t="shared" si="3"/>
        <v>3242</v>
      </c>
      <c r="K107" s="3"/>
      <c r="L107" s="3"/>
    </row>
    <row r="108" spans="1:12" x14ac:dyDescent="0.35">
      <c r="A108" s="3"/>
      <c r="B108" s="3"/>
      <c r="C108" s="3"/>
      <c r="D108" s="3"/>
      <c r="E108" s="3"/>
      <c r="F108" s="3"/>
      <c r="G108" s="3"/>
      <c r="H108" s="3"/>
      <c r="I108" s="3"/>
      <c r="J108" s="6">
        <f t="shared" si="3"/>
        <v>3242</v>
      </c>
      <c r="K108" s="3"/>
      <c r="L108" s="3"/>
    </row>
    <row r="109" spans="1:12" x14ac:dyDescent="0.35">
      <c r="A109" s="3"/>
      <c r="B109" s="3"/>
      <c r="C109" s="3"/>
      <c r="D109" s="3"/>
      <c r="E109" s="3"/>
      <c r="F109" s="3"/>
      <c r="G109" s="3"/>
      <c r="H109" s="3"/>
      <c r="I109" s="3"/>
      <c r="J109" s="6">
        <f t="shared" si="3"/>
        <v>3242</v>
      </c>
      <c r="K109" s="3"/>
      <c r="L109" s="3"/>
    </row>
    <row r="110" spans="1:12" x14ac:dyDescent="0.35">
      <c r="A110" s="3"/>
      <c r="B110" s="3"/>
      <c r="C110" s="3"/>
      <c r="D110" s="3"/>
      <c r="E110" s="3"/>
      <c r="F110" s="3"/>
      <c r="G110" s="3"/>
      <c r="H110" s="3"/>
      <c r="I110" s="3"/>
      <c r="J110" s="6">
        <f t="shared" si="3"/>
        <v>3242</v>
      </c>
      <c r="K110" s="3"/>
      <c r="L110" s="3"/>
    </row>
    <row r="111" spans="1:12" x14ac:dyDescent="0.35">
      <c r="A111" s="3"/>
      <c r="B111" s="3"/>
      <c r="C111" s="3"/>
      <c r="D111" s="3"/>
      <c r="E111" s="3"/>
      <c r="F111" s="3"/>
      <c r="G111" s="3"/>
      <c r="H111" s="3"/>
      <c r="I111" s="3"/>
      <c r="J111" s="6">
        <f t="shared" si="3"/>
        <v>3242</v>
      </c>
      <c r="K111" s="3"/>
      <c r="L111" s="3"/>
    </row>
    <row r="112" spans="1:12" x14ac:dyDescent="0.35">
      <c r="A112" s="3"/>
      <c r="B112" s="3"/>
      <c r="C112" s="3"/>
      <c r="D112" s="3"/>
      <c r="E112" s="3"/>
      <c r="F112" s="3"/>
      <c r="G112" s="3"/>
      <c r="H112" s="3"/>
      <c r="I112" s="3"/>
      <c r="J112" s="6">
        <f t="shared" si="3"/>
        <v>3242</v>
      </c>
      <c r="K112" s="3"/>
      <c r="L112" s="3"/>
    </row>
    <row r="113" spans="1:12" x14ac:dyDescent="0.35">
      <c r="A113" s="3"/>
      <c r="B113" s="3"/>
      <c r="C113" s="3"/>
      <c r="D113" s="3"/>
      <c r="E113" s="3"/>
      <c r="F113" s="3"/>
      <c r="G113" s="3"/>
      <c r="H113" s="3"/>
      <c r="I113" s="3"/>
      <c r="J113" s="6">
        <f t="shared" si="3"/>
        <v>3242</v>
      </c>
      <c r="K113" s="3"/>
      <c r="L113" s="3"/>
    </row>
    <row r="114" spans="1:12" x14ac:dyDescent="0.35">
      <c r="A114" s="3"/>
      <c r="B114" s="3"/>
      <c r="C114" s="3"/>
      <c r="D114" s="3"/>
      <c r="E114" s="3"/>
      <c r="F114" s="3"/>
      <c r="G114" s="3"/>
      <c r="H114" s="3"/>
      <c r="I114" s="3"/>
      <c r="J114" s="6">
        <f t="shared" si="3"/>
        <v>3242</v>
      </c>
      <c r="K114" s="3"/>
      <c r="L114" s="3"/>
    </row>
    <row r="115" spans="1:12" x14ac:dyDescent="0.35">
      <c r="A115" s="3"/>
      <c r="B115" s="3"/>
      <c r="C115" s="3"/>
      <c r="D115" s="3"/>
      <c r="E115" s="3"/>
      <c r="F115" s="3"/>
      <c r="G115" s="3"/>
      <c r="H115" s="3"/>
      <c r="I115" s="3"/>
      <c r="J115" s="6">
        <f t="shared" si="3"/>
        <v>3242</v>
      </c>
      <c r="K115" s="3"/>
      <c r="L115" s="3"/>
    </row>
    <row r="116" spans="1:12" x14ac:dyDescent="0.35">
      <c r="A116" s="3"/>
      <c r="B116" s="3"/>
      <c r="C116" s="3"/>
      <c r="D116" s="3"/>
      <c r="E116" s="3"/>
      <c r="F116" s="3"/>
      <c r="G116" s="3"/>
      <c r="H116" s="3"/>
      <c r="I116" s="3"/>
      <c r="J116" s="6">
        <f t="shared" si="3"/>
        <v>3242</v>
      </c>
      <c r="K116" s="3"/>
      <c r="L116" s="3"/>
    </row>
    <row r="117" spans="1:12" x14ac:dyDescent="0.35">
      <c r="A117" s="3"/>
      <c r="B117" s="3"/>
      <c r="C117" s="3"/>
      <c r="D117" s="3"/>
      <c r="E117" s="3"/>
      <c r="F117" s="3"/>
      <c r="G117" s="3"/>
      <c r="H117" s="3"/>
      <c r="I117" s="3"/>
      <c r="J117" s="6">
        <f t="shared" si="3"/>
        <v>3242</v>
      </c>
      <c r="K117" s="3"/>
      <c r="L117" s="3"/>
    </row>
    <row r="118" spans="1:12" x14ac:dyDescent="0.35">
      <c r="A118" s="3"/>
      <c r="B118" s="3"/>
      <c r="C118" s="3"/>
      <c r="D118" s="3"/>
      <c r="E118" s="3"/>
      <c r="F118" s="3"/>
      <c r="G118" s="3"/>
      <c r="H118" s="3"/>
      <c r="I118" s="3"/>
      <c r="J118" s="6">
        <f t="shared" si="3"/>
        <v>3242</v>
      </c>
      <c r="K118" s="3"/>
      <c r="L118" s="3"/>
    </row>
    <row r="119" spans="1:12" x14ac:dyDescent="0.35">
      <c r="A119" s="3"/>
      <c r="B119" s="3"/>
      <c r="C119" s="3"/>
      <c r="D119" s="3"/>
      <c r="E119" s="3"/>
      <c r="F119" s="3"/>
      <c r="G119" s="3"/>
      <c r="H119" s="3"/>
      <c r="I119" s="3"/>
      <c r="J119" s="6">
        <f t="shared" si="3"/>
        <v>3242</v>
      </c>
      <c r="K119" s="3"/>
      <c r="L119" s="3"/>
    </row>
    <row r="120" spans="1:12" x14ac:dyDescent="0.35">
      <c r="A120" s="3"/>
      <c r="B120" s="3"/>
      <c r="C120" s="3"/>
      <c r="D120" s="3"/>
      <c r="E120" s="3"/>
      <c r="F120" s="3"/>
      <c r="G120" s="3"/>
      <c r="H120" s="3"/>
      <c r="I120" s="3"/>
      <c r="J120" s="6">
        <f t="shared" si="3"/>
        <v>3242</v>
      </c>
      <c r="K120" s="3"/>
      <c r="L120" s="3"/>
    </row>
    <row r="121" spans="1:12" x14ac:dyDescent="0.35">
      <c r="A121" s="3"/>
      <c r="B121" s="3"/>
      <c r="C121" s="3"/>
      <c r="D121" s="3"/>
      <c r="E121" s="3"/>
      <c r="F121" s="3"/>
      <c r="G121" s="3"/>
      <c r="H121" s="3"/>
      <c r="I121" s="3"/>
      <c r="J121" s="6">
        <f t="shared" si="3"/>
        <v>3242</v>
      </c>
      <c r="K121" s="3"/>
      <c r="L121" s="3"/>
    </row>
    <row r="122" spans="1:12" x14ac:dyDescent="0.35">
      <c r="A122" s="3"/>
      <c r="B122" s="3"/>
      <c r="C122" s="3"/>
      <c r="D122" s="3"/>
      <c r="E122" s="3"/>
      <c r="F122" s="3"/>
      <c r="G122" s="3"/>
      <c r="H122" s="3"/>
      <c r="I122" s="3"/>
      <c r="J122" s="6">
        <f t="shared" si="3"/>
        <v>3242</v>
      </c>
      <c r="K122" s="3"/>
      <c r="L122" s="3"/>
    </row>
    <row r="123" spans="1:12" x14ac:dyDescent="0.35">
      <c r="A123" s="3"/>
      <c r="B123" s="3"/>
      <c r="C123" s="3"/>
      <c r="D123" s="3"/>
      <c r="E123" s="3"/>
      <c r="F123" s="3"/>
      <c r="G123" s="3"/>
      <c r="H123" s="3"/>
      <c r="I123" s="3"/>
      <c r="J123" s="6">
        <f t="shared" si="3"/>
        <v>3242</v>
      </c>
      <c r="K123" s="3"/>
      <c r="L123" s="3"/>
    </row>
    <row r="124" spans="1:12" x14ac:dyDescent="0.35">
      <c r="A124" s="3"/>
      <c r="B124" s="3"/>
      <c r="C124" s="3"/>
      <c r="D124" s="3"/>
      <c r="E124" s="3"/>
      <c r="F124" s="3"/>
      <c r="G124" s="3"/>
      <c r="H124" s="3"/>
      <c r="I124" s="3"/>
      <c r="J124" s="6">
        <f t="shared" si="3"/>
        <v>3242</v>
      </c>
      <c r="K124" s="3"/>
      <c r="L124" s="3"/>
    </row>
    <row r="125" spans="1:12" x14ac:dyDescent="0.35">
      <c r="A125" s="3"/>
      <c r="B125" s="3"/>
      <c r="C125" s="3"/>
      <c r="D125" s="3"/>
      <c r="E125" s="3"/>
      <c r="F125" s="3"/>
      <c r="G125" s="3"/>
      <c r="H125" s="3"/>
      <c r="I125" s="3"/>
      <c r="J125" s="6">
        <f t="shared" si="3"/>
        <v>3242</v>
      </c>
      <c r="K125" s="3"/>
      <c r="L125" s="3"/>
    </row>
    <row r="126" spans="1:12" x14ac:dyDescent="0.35">
      <c r="A126" s="3"/>
      <c r="B126" s="3"/>
      <c r="C126" s="3"/>
      <c r="D126" s="3"/>
      <c r="E126" s="3"/>
      <c r="F126" s="3"/>
      <c r="G126" s="3"/>
      <c r="H126" s="3"/>
      <c r="I126" s="3"/>
      <c r="J126" s="6">
        <f t="shared" si="3"/>
        <v>3242</v>
      </c>
      <c r="K126" s="3"/>
      <c r="L126" s="3"/>
    </row>
    <row r="127" spans="1:12" x14ac:dyDescent="0.35">
      <c r="A127" s="3"/>
      <c r="B127" s="3"/>
      <c r="C127" s="3"/>
      <c r="D127" s="3"/>
      <c r="E127" s="3"/>
      <c r="F127" s="3"/>
      <c r="G127" s="3"/>
      <c r="H127" s="3"/>
      <c r="I127" s="3"/>
      <c r="J127" s="6">
        <f t="shared" si="3"/>
        <v>3242</v>
      </c>
      <c r="K127" s="3"/>
      <c r="L127" s="3"/>
    </row>
    <row r="128" spans="1:12" x14ac:dyDescent="0.35">
      <c r="A128" s="3"/>
      <c r="B128" s="3"/>
      <c r="C128" s="3"/>
      <c r="D128" s="3"/>
      <c r="E128" s="3"/>
      <c r="F128" s="3"/>
      <c r="G128" s="3"/>
      <c r="H128" s="3"/>
      <c r="I128" s="3"/>
      <c r="J128" s="6">
        <f t="shared" si="3"/>
        <v>3242</v>
      </c>
      <c r="K128" s="3"/>
      <c r="L128" s="3"/>
    </row>
    <row r="129" spans="1:14" x14ac:dyDescent="0.35">
      <c r="A129" s="3"/>
      <c r="B129" s="3"/>
      <c r="C129" s="3"/>
      <c r="D129" s="3"/>
      <c r="E129" s="3"/>
      <c r="F129" s="3"/>
      <c r="G129" s="3"/>
      <c r="H129" s="3"/>
      <c r="I129" s="3"/>
      <c r="J129" s="6">
        <f t="shared" si="3"/>
        <v>3242</v>
      </c>
      <c r="K129" s="3"/>
      <c r="L129" s="3"/>
    </row>
    <row r="130" spans="1:14" x14ac:dyDescent="0.35">
      <c r="A130" s="4" t="s">
        <v>18</v>
      </c>
      <c r="B130" s="3"/>
      <c r="C130" s="3"/>
      <c r="D130" s="3"/>
      <c r="E130" s="3"/>
      <c r="F130" s="3"/>
      <c r="G130" s="5">
        <f>SUM(G4:G34)</f>
        <v>64040</v>
      </c>
      <c r="H130" s="5">
        <f>SUM(H4:H34)</f>
        <v>61597</v>
      </c>
      <c r="I130" s="3"/>
      <c r="J130" s="3"/>
      <c r="K130" s="3"/>
      <c r="L130" s="3"/>
      <c r="M130" s="3"/>
      <c r="N130" s="3"/>
    </row>
  </sheetData>
  <mergeCells count="1">
    <mergeCell ref="A1:N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0</xdr:row>
                    <xdr:rowOff>50800</xdr:rowOff>
                  </from>
                  <to>
                    <xdr:col>6</xdr:col>
                    <xdr:colOff>762000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A311F-6B1D-45F3-B64F-4CE549D34BB8}">
  <sheetPr codeName="Sheet8"/>
  <dimension ref="A1:N35"/>
  <sheetViews>
    <sheetView rightToLeft="1" workbookViewId="0">
      <selection activeCell="E18" sqref="E18"/>
    </sheetView>
  </sheetViews>
  <sheetFormatPr defaultRowHeight="14.5" x14ac:dyDescent="0.35"/>
  <cols>
    <col min="1" max="1" width="8.6328125" customWidth="1"/>
    <col min="2" max="3" width="12.6328125" customWidth="1"/>
    <col min="4" max="4" width="10.6328125" customWidth="1"/>
    <col min="5" max="5" width="35.6328125" customWidth="1"/>
    <col min="6" max="6" width="20.6328125" customWidth="1"/>
    <col min="7" max="8" width="14.6328125" customWidth="1"/>
    <col min="9" max="9" width="12.6328125" customWidth="1"/>
    <col min="10" max="10" width="14.6328125" customWidth="1"/>
    <col min="11" max="11" width="18.6328125" customWidth="1"/>
    <col min="12" max="12" width="22.6328125" customWidth="1"/>
    <col min="13" max="14" width="14.6328125" customWidth="1"/>
  </cols>
  <sheetData>
    <row r="1" spans="1:14" ht="18.5" x14ac:dyDescent="0.45">
      <c r="A1" s="24" t="s">
        <v>25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</row>
    <row r="2" spans="1:14" x14ac:dyDescent="0.35">
      <c r="A2" s="1" t="s">
        <v>1</v>
      </c>
      <c r="B2" s="1"/>
      <c r="C2" s="1" t="s">
        <v>2</v>
      </c>
      <c r="D2" s="1">
        <v>5000</v>
      </c>
    </row>
    <row r="3" spans="1:14" x14ac:dyDescent="0.35">
      <c r="A3" s="2" t="s">
        <v>3</v>
      </c>
      <c r="B3" s="2" t="s">
        <v>4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L3" s="2" t="s">
        <v>14</v>
      </c>
      <c r="M3" s="2" t="s">
        <v>15</v>
      </c>
      <c r="N3" s="2" t="s">
        <v>16</v>
      </c>
    </row>
    <row r="4" spans="1:14" x14ac:dyDescent="0.35">
      <c r="A4" s="3" t="s">
        <v>17</v>
      </c>
      <c r="B4" s="3"/>
      <c r="C4" s="3"/>
      <c r="D4" s="3"/>
      <c r="E4" s="3"/>
      <c r="F4" s="3"/>
      <c r="G4" s="6">
        <f>'07-يوليو'!G35</f>
        <v>0</v>
      </c>
      <c r="H4" s="6">
        <f>'07-يوليو'!H35</f>
        <v>0</v>
      </c>
      <c r="I4" s="3"/>
      <c r="J4" s="6">
        <f>C4-G4+H4</f>
        <v>0</v>
      </c>
      <c r="K4" s="3" t="str">
        <f t="shared" ref="K4:K34" si="0">IF(J4&lt;200,"تنبيه: أعد التعبئة","مقبول")</f>
        <v>تنبيه: أعد التعبئة</v>
      </c>
      <c r="L4" s="3"/>
      <c r="M4" s="3"/>
      <c r="N4" s="3"/>
    </row>
    <row r="5" spans="1:14" x14ac:dyDescent="0.35">
      <c r="A5" s="3"/>
      <c r="B5" s="3"/>
      <c r="C5" s="3"/>
      <c r="D5" s="3"/>
      <c r="E5" s="3"/>
      <c r="F5" s="3"/>
      <c r="G5" s="3"/>
      <c r="H5" s="3"/>
      <c r="I5" s="3"/>
      <c r="J5" s="6">
        <f t="shared" ref="J5:J34" si="1">J4-G5+H5</f>
        <v>0</v>
      </c>
      <c r="K5" s="3" t="str">
        <f t="shared" si="0"/>
        <v>تنبيه: أعد التعبئة</v>
      </c>
      <c r="L5" s="3"/>
      <c r="M5" s="3"/>
      <c r="N5" s="3"/>
    </row>
    <row r="6" spans="1:14" x14ac:dyDescent="0.35">
      <c r="A6" s="3"/>
      <c r="B6" s="3"/>
      <c r="C6" s="3"/>
      <c r="D6" s="3"/>
      <c r="E6" s="3"/>
      <c r="F6" s="3"/>
      <c r="G6" s="3"/>
      <c r="H6" s="3"/>
      <c r="I6" s="3"/>
      <c r="J6" s="6">
        <f t="shared" si="1"/>
        <v>0</v>
      </c>
      <c r="K6" s="3" t="str">
        <f t="shared" si="0"/>
        <v>تنبيه: أعد التعبئة</v>
      </c>
      <c r="L6" s="3"/>
      <c r="M6" s="3"/>
      <c r="N6" s="3"/>
    </row>
    <row r="7" spans="1:14" x14ac:dyDescent="0.35">
      <c r="A7" s="3"/>
      <c r="B7" s="3"/>
      <c r="C7" s="3"/>
      <c r="D7" s="3"/>
      <c r="E7" s="3"/>
      <c r="F7" s="3"/>
      <c r="G7" s="3"/>
      <c r="H7" s="3"/>
      <c r="I7" s="3"/>
      <c r="J7" s="6">
        <f t="shared" si="1"/>
        <v>0</v>
      </c>
      <c r="K7" s="3" t="str">
        <f t="shared" si="0"/>
        <v>تنبيه: أعد التعبئة</v>
      </c>
      <c r="L7" s="3"/>
      <c r="M7" s="3"/>
      <c r="N7" s="3"/>
    </row>
    <row r="8" spans="1:14" x14ac:dyDescent="0.35">
      <c r="A8" s="3"/>
      <c r="B8" s="3"/>
      <c r="C8" s="3"/>
      <c r="D8" s="3"/>
      <c r="E8" s="3"/>
      <c r="F8" s="3"/>
      <c r="G8" s="3"/>
      <c r="H8" s="3"/>
      <c r="I8" s="3"/>
      <c r="J8" s="6">
        <f t="shared" si="1"/>
        <v>0</v>
      </c>
      <c r="K8" s="3" t="str">
        <f t="shared" si="0"/>
        <v>تنبيه: أعد التعبئة</v>
      </c>
      <c r="L8" s="3"/>
      <c r="M8" s="3"/>
      <c r="N8" s="3"/>
    </row>
    <row r="9" spans="1:14" x14ac:dyDescent="0.35">
      <c r="A9" s="3"/>
      <c r="B9" s="3"/>
      <c r="C9" s="3"/>
      <c r="D9" s="3"/>
      <c r="E9" s="3"/>
      <c r="F9" s="3"/>
      <c r="G9" s="3"/>
      <c r="H9" s="3"/>
      <c r="I9" s="3"/>
      <c r="J9" s="6">
        <f t="shared" si="1"/>
        <v>0</v>
      </c>
      <c r="K9" s="3" t="str">
        <f t="shared" si="0"/>
        <v>تنبيه: أعد التعبئة</v>
      </c>
      <c r="L9" s="3"/>
      <c r="M9" s="3"/>
      <c r="N9" s="3"/>
    </row>
    <row r="10" spans="1:14" x14ac:dyDescent="0.35">
      <c r="A10" s="3"/>
      <c r="B10" s="3"/>
      <c r="C10" s="3"/>
      <c r="D10" s="3"/>
      <c r="E10" s="3"/>
      <c r="F10" s="3"/>
      <c r="G10" s="3"/>
      <c r="H10" s="3"/>
      <c r="I10" s="3"/>
      <c r="J10" s="6">
        <f t="shared" si="1"/>
        <v>0</v>
      </c>
      <c r="K10" s="3" t="str">
        <f t="shared" si="0"/>
        <v>تنبيه: أعد التعبئة</v>
      </c>
      <c r="L10" s="3"/>
      <c r="M10" s="3"/>
      <c r="N10" s="3"/>
    </row>
    <row r="11" spans="1:14" x14ac:dyDescent="0.35">
      <c r="A11" s="3"/>
      <c r="B11" s="3"/>
      <c r="C11" s="3"/>
      <c r="D11" s="3"/>
      <c r="E11" s="3"/>
      <c r="F11" s="3"/>
      <c r="G11" s="3"/>
      <c r="H11" s="3"/>
      <c r="I11" s="3"/>
      <c r="J11" s="6">
        <f t="shared" si="1"/>
        <v>0</v>
      </c>
      <c r="K11" s="3" t="str">
        <f t="shared" si="0"/>
        <v>تنبيه: أعد التعبئة</v>
      </c>
      <c r="L11" s="3"/>
      <c r="M11" s="3"/>
      <c r="N11" s="3"/>
    </row>
    <row r="12" spans="1:14" x14ac:dyDescent="0.35">
      <c r="A12" s="3"/>
      <c r="B12" s="3"/>
      <c r="C12" s="3"/>
      <c r="D12" s="3"/>
      <c r="E12" s="3"/>
      <c r="F12" s="3"/>
      <c r="G12" s="3"/>
      <c r="H12" s="3"/>
      <c r="I12" s="3"/>
      <c r="J12" s="6">
        <f t="shared" si="1"/>
        <v>0</v>
      </c>
      <c r="K12" s="3" t="str">
        <f t="shared" si="0"/>
        <v>تنبيه: أعد التعبئة</v>
      </c>
      <c r="L12" s="3"/>
      <c r="M12" s="3"/>
      <c r="N12" s="3"/>
    </row>
    <row r="13" spans="1:14" x14ac:dyDescent="0.35">
      <c r="A13" s="3"/>
      <c r="B13" s="3"/>
      <c r="C13" s="3"/>
      <c r="D13" s="3"/>
      <c r="E13" s="3"/>
      <c r="F13" s="3"/>
      <c r="G13" s="3"/>
      <c r="H13" s="3"/>
      <c r="I13" s="3"/>
      <c r="J13" s="6">
        <f t="shared" si="1"/>
        <v>0</v>
      </c>
      <c r="K13" s="3" t="str">
        <f t="shared" si="0"/>
        <v>تنبيه: أعد التعبئة</v>
      </c>
      <c r="L13" s="3"/>
      <c r="M13" s="3"/>
      <c r="N13" s="3"/>
    </row>
    <row r="14" spans="1:14" x14ac:dyDescent="0.35">
      <c r="A14" s="3"/>
      <c r="B14" s="3"/>
      <c r="C14" s="3"/>
      <c r="D14" s="3"/>
      <c r="E14" s="3"/>
      <c r="F14" s="3"/>
      <c r="G14" s="3"/>
      <c r="H14" s="3"/>
      <c r="I14" s="3"/>
      <c r="J14" s="6">
        <f t="shared" si="1"/>
        <v>0</v>
      </c>
      <c r="K14" s="3" t="str">
        <f t="shared" si="0"/>
        <v>تنبيه: أعد التعبئة</v>
      </c>
      <c r="L14" s="3"/>
      <c r="M14" s="3"/>
      <c r="N14" s="3"/>
    </row>
    <row r="15" spans="1:14" x14ac:dyDescent="0.35">
      <c r="A15" s="3"/>
      <c r="B15" s="3"/>
      <c r="C15" s="3"/>
      <c r="D15" s="3"/>
      <c r="E15" s="3"/>
      <c r="F15" s="3"/>
      <c r="G15" s="3"/>
      <c r="H15" s="3"/>
      <c r="I15" s="3"/>
      <c r="J15" s="6">
        <f t="shared" si="1"/>
        <v>0</v>
      </c>
      <c r="K15" s="3" t="str">
        <f t="shared" si="0"/>
        <v>تنبيه: أعد التعبئة</v>
      </c>
      <c r="L15" s="3"/>
      <c r="M15" s="3"/>
      <c r="N15" s="3"/>
    </row>
    <row r="16" spans="1:14" x14ac:dyDescent="0.35">
      <c r="A16" s="3"/>
      <c r="B16" s="3"/>
      <c r="C16" s="3"/>
      <c r="D16" s="3"/>
      <c r="E16" s="3"/>
      <c r="F16" s="3"/>
      <c r="G16" s="3"/>
      <c r="H16" s="3"/>
      <c r="I16" s="3"/>
      <c r="J16" s="6">
        <f t="shared" si="1"/>
        <v>0</v>
      </c>
      <c r="K16" s="3" t="str">
        <f t="shared" si="0"/>
        <v>تنبيه: أعد التعبئة</v>
      </c>
      <c r="L16" s="3"/>
      <c r="M16" s="3"/>
      <c r="N16" s="3"/>
    </row>
    <row r="17" spans="1:14" x14ac:dyDescent="0.35">
      <c r="A17" s="3"/>
      <c r="B17" s="3"/>
      <c r="C17" s="3"/>
      <c r="D17" s="3"/>
      <c r="E17" s="3"/>
      <c r="F17" s="3"/>
      <c r="G17" s="3"/>
      <c r="H17" s="3"/>
      <c r="I17" s="3"/>
      <c r="J17" s="6">
        <f t="shared" si="1"/>
        <v>0</v>
      </c>
      <c r="K17" s="3" t="str">
        <f t="shared" si="0"/>
        <v>تنبيه: أعد التعبئة</v>
      </c>
      <c r="L17" s="3"/>
      <c r="M17" s="3"/>
      <c r="N17" s="3"/>
    </row>
    <row r="18" spans="1:14" x14ac:dyDescent="0.35">
      <c r="A18" s="3"/>
      <c r="B18" s="3"/>
      <c r="C18" s="3"/>
      <c r="D18" s="3"/>
      <c r="E18" s="3"/>
      <c r="F18" s="3"/>
      <c r="G18" s="3"/>
      <c r="H18" s="3"/>
      <c r="I18" s="3"/>
      <c r="J18" s="6">
        <f t="shared" si="1"/>
        <v>0</v>
      </c>
      <c r="K18" s="3" t="str">
        <f t="shared" si="0"/>
        <v>تنبيه: أعد التعبئة</v>
      </c>
      <c r="L18" s="3"/>
      <c r="M18" s="3"/>
      <c r="N18" s="3"/>
    </row>
    <row r="19" spans="1:14" x14ac:dyDescent="0.35">
      <c r="A19" s="3"/>
      <c r="B19" s="3"/>
      <c r="C19" s="3"/>
      <c r="D19" s="3"/>
      <c r="E19" s="3"/>
      <c r="F19" s="3"/>
      <c r="G19" s="3"/>
      <c r="H19" s="3"/>
      <c r="I19" s="3"/>
      <c r="J19" s="6">
        <f t="shared" si="1"/>
        <v>0</v>
      </c>
      <c r="K19" s="3" t="str">
        <f t="shared" si="0"/>
        <v>تنبيه: أعد التعبئة</v>
      </c>
      <c r="L19" s="3"/>
      <c r="M19" s="3"/>
      <c r="N19" s="3"/>
    </row>
    <row r="20" spans="1:14" x14ac:dyDescent="0.35">
      <c r="A20" s="3"/>
      <c r="B20" s="3"/>
      <c r="C20" s="3"/>
      <c r="D20" s="3"/>
      <c r="E20" s="3"/>
      <c r="F20" s="3"/>
      <c r="G20" s="3"/>
      <c r="H20" s="3"/>
      <c r="I20" s="3"/>
      <c r="J20" s="6">
        <f t="shared" si="1"/>
        <v>0</v>
      </c>
      <c r="K20" s="3" t="str">
        <f t="shared" si="0"/>
        <v>تنبيه: أعد التعبئة</v>
      </c>
      <c r="L20" s="3"/>
      <c r="M20" s="3"/>
      <c r="N20" s="3"/>
    </row>
    <row r="21" spans="1:14" x14ac:dyDescent="0.35">
      <c r="A21" s="3"/>
      <c r="B21" s="3"/>
      <c r="C21" s="3"/>
      <c r="D21" s="3"/>
      <c r="E21" s="3"/>
      <c r="F21" s="3"/>
      <c r="G21" s="3"/>
      <c r="H21" s="3"/>
      <c r="I21" s="3"/>
      <c r="J21" s="6">
        <f t="shared" si="1"/>
        <v>0</v>
      </c>
      <c r="K21" s="3" t="str">
        <f t="shared" si="0"/>
        <v>تنبيه: أعد التعبئة</v>
      </c>
      <c r="L21" s="3"/>
      <c r="M21" s="3"/>
      <c r="N21" s="3"/>
    </row>
    <row r="22" spans="1:14" x14ac:dyDescent="0.35">
      <c r="A22" s="3"/>
      <c r="B22" s="3"/>
      <c r="C22" s="3"/>
      <c r="D22" s="3"/>
      <c r="E22" s="3"/>
      <c r="F22" s="3"/>
      <c r="G22" s="3"/>
      <c r="H22" s="3"/>
      <c r="I22" s="3"/>
      <c r="J22" s="6">
        <f t="shared" si="1"/>
        <v>0</v>
      </c>
      <c r="K22" s="3" t="str">
        <f t="shared" si="0"/>
        <v>تنبيه: أعد التعبئة</v>
      </c>
      <c r="L22" s="3"/>
      <c r="M22" s="3"/>
      <c r="N22" s="3"/>
    </row>
    <row r="23" spans="1:14" x14ac:dyDescent="0.35">
      <c r="A23" s="3"/>
      <c r="B23" s="3"/>
      <c r="C23" s="3"/>
      <c r="D23" s="3"/>
      <c r="E23" s="3"/>
      <c r="F23" s="3"/>
      <c r="G23" s="3"/>
      <c r="H23" s="3"/>
      <c r="I23" s="3"/>
      <c r="J23" s="6">
        <f t="shared" si="1"/>
        <v>0</v>
      </c>
      <c r="K23" s="3" t="str">
        <f t="shared" si="0"/>
        <v>تنبيه: أعد التعبئة</v>
      </c>
      <c r="L23" s="3"/>
      <c r="M23" s="3"/>
      <c r="N23" s="3"/>
    </row>
    <row r="24" spans="1:14" x14ac:dyDescent="0.35">
      <c r="A24" s="3"/>
      <c r="B24" s="3"/>
      <c r="C24" s="3"/>
      <c r="D24" s="3"/>
      <c r="E24" s="3"/>
      <c r="F24" s="3"/>
      <c r="G24" s="3"/>
      <c r="H24" s="3"/>
      <c r="I24" s="3"/>
      <c r="J24" s="6">
        <f t="shared" si="1"/>
        <v>0</v>
      </c>
      <c r="K24" s="3" t="str">
        <f t="shared" si="0"/>
        <v>تنبيه: أعد التعبئة</v>
      </c>
      <c r="L24" s="3"/>
      <c r="M24" s="3"/>
      <c r="N24" s="3"/>
    </row>
    <row r="25" spans="1:14" x14ac:dyDescent="0.35">
      <c r="A25" s="3"/>
      <c r="B25" s="3"/>
      <c r="C25" s="3"/>
      <c r="D25" s="3"/>
      <c r="E25" s="3"/>
      <c r="F25" s="3"/>
      <c r="G25" s="3"/>
      <c r="H25" s="3"/>
      <c r="I25" s="3"/>
      <c r="J25" s="6">
        <f t="shared" si="1"/>
        <v>0</v>
      </c>
      <c r="K25" s="3" t="str">
        <f t="shared" si="0"/>
        <v>تنبيه: أعد التعبئة</v>
      </c>
      <c r="L25" s="3"/>
      <c r="M25" s="3"/>
      <c r="N25" s="3"/>
    </row>
    <row r="26" spans="1:14" x14ac:dyDescent="0.35">
      <c r="A26" s="3"/>
      <c r="B26" s="3"/>
      <c r="C26" s="3"/>
      <c r="D26" s="3"/>
      <c r="E26" s="3"/>
      <c r="F26" s="3"/>
      <c r="G26" s="3"/>
      <c r="H26" s="3"/>
      <c r="I26" s="3"/>
      <c r="J26" s="6">
        <f t="shared" si="1"/>
        <v>0</v>
      </c>
      <c r="K26" s="3" t="str">
        <f t="shared" si="0"/>
        <v>تنبيه: أعد التعبئة</v>
      </c>
      <c r="L26" s="3"/>
      <c r="M26" s="3"/>
      <c r="N26" s="3"/>
    </row>
    <row r="27" spans="1:14" x14ac:dyDescent="0.35">
      <c r="A27" s="3"/>
      <c r="B27" s="3"/>
      <c r="C27" s="3"/>
      <c r="D27" s="3"/>
      <c r="E27" s="3"/>
      <c r="F27" s="3"/>
      <c r="G27" s="3"/>
      <c r="H27" s="3"/>
      <c r="I27" s="3"/>
      <c r="J27" s="6">
        <f t="shared" si="1"/>
        <v>0</v>
      </c>
      <c r="K27" s="3" t="str">
        <f t="shared" si="0"/>
        <v>تنبيه: أعد التعبئة</v>
      </c>
      <c r="L27" s="3"/>
      <c r="M27" s="3"/>
      <c r="N27" s="3"/>
    </row>
    <row r="28" spans="1:14" x14ac:dyDescent="0.35">
      <c r="A28" s="3"/>
      <c r="B28" s="3"/>
      <c r="C28" s="3"/>
      <c r="D28" s="3"/>
      <c r="E28" s="3"/>
      <c r="F28" s="3"/>
      <c r="G28" s="3"/>
      <c r="H28" s="3"/>
      <c r="I28" s="3"/>
      <c r="J28" s="6">
        <f t="shared" si="1"/>
        <v>0</v>
      </c>
      <c r="K28" s="3" t="str">
        <f t="shared" si="0"/>
        <v>تنبيه: أعد التعبئة</v>
      </c>
      <c r="L28" s="3"/>
      <c r="M28" s="3"/>
      <c r="N28" s="3"/>
    </row>
    <row r="29" spans="1:14" x14ac:dyDescent="0.35">
      <c r="A29" s="3"/>
      <c r="B29" s="3"/>
      <c r="C29" s="3"/>
      <c r="D29" s="3"/>
      <c r="E29" s="3"/>
      <c r="F29" s="3"/>
      <c r="G29" s="3"/>
      <c r="H29" s="3"/>
      <c r="I29" s="3"/>
      <c r="J29" s="6">
        <f t="shared" si="1"/>
        <v>0</v>
      </c>
      <c r="K29" s="3" t="str">
        <f t="shared" si="0"/>
        <v>تنبيه: أعد التعبئة</v>
      </c>
      <c r="L29" s="3"/>
      <c r="M29" s="3"/>
      <c r="N29" s="3"/>
    </row>
    <row r="30" spans="1:14" x14ac:dyDescent="0.35">
      <c r="A30" s="3"/>
      <c r="B30" s="3"/>
      <c r="C30" s="3"/>
      <c r="D30" s="3"/>
      <c r="E30" s="3"/>
      <c r="F30" s="3"/>
      <c r="G30" s="3"/>
      <c r="H30" s="3"/>
      <c r="I30" s="3"/>
      <c r="J30" s="6">
        <f t="shared" si="1"/>
        <v>0</v>
      </c>
      <c r="K30" s="3" t="str">
        <f t="shared" si="0"/>
        <v>تنبيه: أعد التعبئة</v>
      </c>
      <c r="L30" s="3"/>
      <c r="M30" s="3"/>
      <c r="N30" s="3"/>
    </row>
    <row r="31" spans="1:14" x14ac:dyDescent="0.35">
      <c r="A31" s="3"/>
      <c r="B31" s="3"/>
      <c r="C31" s="3"/>
      <c r="D31" s="3"/>
      <c r="E31" s="3"/>
      <c r="F31" s="3"/>
      <c r="G31" s="3"/>
      <c r="H31" s="3"/>
      <c r="I31" s="3"/>
      <c r="J31" s="6">
        <f t="shared" si="1"/>
        <v>0</v>
      </c>
      <c r="K31" s="3" t="str">
        <f t="shared" si="0"/>
        <v>تنبيه: أعد التعبئة</v>
      </c>
      <c r="L31" s="3"/>
      <c r="M31" s="3"/>
      <c r="N31" s="3"/>
    </row>
    <row r="32" spans="1:14" x14ac:dyDescent="0.35">
      <c r="A32" s="3"/>
      <c r="B32" s="3"/>
      <c r="C32" s="3"/>
      <c r="D32" s="3"/>
      <c r="E32" s="3"/>
      <c r="F32" s="3"/>
      <c r="G32" s="3"/>
      <c r="H32" s="3"/>
      <c r="I32" s="3"/>
      <c r="J32" s="6">
        <f t="shared" si="1"/>
        <v>0</v>
      </c>
      <c r="K32" s="3" t="str">
        <f t="shared" si="0"/>
        <v>تنبيه: أعد التعبئة</v>
      </c>
      <c r="L32" s="3"/>
      <c r="M32" s="3"/>
      <c r="N32" s="3"/>
    </row>
    <row r="33" spans="1:14" x14ac:dyDescent="0.35">
      <c r="A33" s="3"/>
      <c r="B33" s="3"/>
      <c r="C33" s="3"/>
      <c r="D33" s="3"/>
      <c r="E33" s="3"/>
      <c r="F33" s="3"/>
      <c r="G33" s="3"/>
      <c r="H33" s="3"/>
      <c r="I33" s="3"/>
      <c r="J33" s="6">
        <f t="shared" si="1"/>
        <v>0</v>
      </c>
      <c r="K33" s="3" t="str">
        <f t="shared" si="0"/>
        <v>تنبيه: أعد التعبئة</v>
      </c>
      <c r="L33" s="3"/>
      <c r="M33" s="3"/>
      <c r="N33" s="3"/>
    </row>
    <row r="34" spans="1:14" x14ac:dyDescent="0.35">
      <c r="A34" s="3"/>
      <c r="B34" s="3"/>
      <c r="C34" s="3"/>
      <c r="D34" s="3"/>
      <c r="E34" s="3"/>
      <c r="F34" s="3"/>
      <c r="G34" s="3"/>
      <c r="H34" s="3"/>
      <c r="I34" s="3"/>
      <c r="J34" s="6">
        <f t="shared" si="1"/>
        <v>0</v>
      </c>
      <c r="K34" s="3" t="str">
        <f t="shared" si="0"/>
        <v>تنبيه: أعد التعبئة</v>
      </c>
      <c r="L34" s="3"/>
      <c r="M34" s="3"/>
      <c r="N34" s="3"/>
    </row>
    <row r="35" spans="1:14" x14ac:dyDescent="0.35">
      <c r="A35" s="4" t="s">
        <v>18</v>
      </c>
      <c r="B35" s="3"/>
      <c r="C35" s="3"/>
      <c r="D35" s="3"/>
      <c r="E35" s="3"/>
      <c r="F35" s="3"/>
      <c r="G35" s="5">
        <f>SUM(G4:G34)</f>
        <v>0</v>
      </c>
      <c r="H35" s="5">
        <f>SUM(H4:H34)</f>
        <v>0</v>
      </c>
      <c r="I35" s="3"/>
      <c r="J35" s="3"/>
      <c r="K35" s="3"/>
      <c r="L35" s="3"/>
      <c r="M35" s="3"/>
      <c r="N35" s="3"/>
    </row>
  </sheetData>
  <mergeCells count="1">
    <mergeCell ref="A1:N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0</xdr:row>
                    <xdr:rowOff>50800</xdr:rowOff>
                  </from>
                  <to>
                    <xdr:col>6</xdr:col>
                    <xdr:colOff>762000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49</xdr:row>
                    <xdr:rowOff>6350</xdr:rowOff>
                  </from>
                  <to>
                    <xdr:col>6</xdr:col>
                    <xdr:colOff>762000</xdr:colOff>
                    <xdr:row>50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12393-2DF6-4F74-BE68-D7A83B47A719}">
  <sheetPr codeName="Sheet11"/>
  <dimension ref="A1:N35"/>
  <sheetViews>
    <sheetView rightToLeft="1" workbookViewId="0">
      <selection sqref="A1:N1"/>
    </sheetView>
  </sheetViews>
  <sheetFormatPr defaultRowHeight="14.5" x14ac:dyDescent="0.35"/>
  <cols>
    <col min="1" max="1" width="8.6328125" customWidth="1"/>
    <col min="2" max="3" width="12.6328125" customWidth="1"/>
    <col min="4" max="4" width="10.6328125" customWidth="1"/>
    <col min="5" max="5" width="35.6328125" customWidth="1"/>
    <col min="6" max="6" width="20.6328125" customWidth="1"/>
    <col min="7" max="8" width="14.6328125" customWidth="1"/>
    <col min="9" max="9" width="12.6328125" customWidth="1"/>
    <col min="10" max="10" width="14.6328125" customWidth="1"/>
    <col min="11" max="11" width="18.6328125" customWidth="1"/>
    <col min="12" max="12" width="22.6328125" customWidth="1"/>
    <col min="13" max="14" width="14.6328125" customWidth="1"/>
  </cols>
  <sheetData>
    <row r="1" spans="1:14" ht="18.5" x14ac:dyDescent="0.45">
      <c r="A1" s="24" t="s">
        <v>27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</row>
    <row r="2" spans="1:14" x14ac:dyDescent="0.35">
      <c r="A2" s="1" t="s">
        <v>1</v>
      </c>
      <c r="B2" s="1"/>
      <c r="C2" s="1" t="s">
        <v>2</v>
      </c>
      <c r="D2" s="1">
        <v>5000</v>
      </c>
    </row>
    <row r="3" spans="1:14" x14ac:dyDescent="0.35">
      <c r="A3" s="2" t="s">
        <v>3</v>
      </c>
      <c r="B3" s="2" t="s">
        <v>4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L3" s="2" t="s">
        <v>14</v>
      </c>
      <c r="M3" s="2" t="s">
        <v>15</v>
      </c>
      <c r="N3" s="2" t="s">
        <v>16</v>
      </c>
    </row>
    <row r="4" spans="1:14" x14ac:dyDescent="0.35">
      <c r="A4" s="3" t="s">
        <v>17</v>
      </c>
      <c r="B4" s="3"/>
      <c r="C4" s="3"/>
      <c r="D4" s="3"/>
      <c r="E4" s="3"/>
      <c r="F4" s="3"/>
      <c r="G4" s="6" t="e">
        <f>اغسطس!#REF!</f>
        <v>#REF!</v>
      </c>
      <c r="H4" s="6" t="e">
        <f>اغسطس!#REF!</f>
        <v>#REF!</v>
      </c>
      <c r="I4" s="3"/>
      <c r="J4" s="6" t="e">
        <f>C4-G4+H4</f>
        <v>#REF!</v>
      </c>
      <c r="K4" s="3" t="e">
        <f t="shared" ref="K4:K34" si="0">IF(J4&lt;200,"تنبيه: أعد التعبئة","مقبول")</f>
        <v>#REF!</v>
      </c>
      <c r="L4" s="3"/>
      <c r="M4" s="3"/>
      <c r="N4" s="3"/>
    </row>
    <row r="5" spans="1:14" x14ac:dyDescent="0.35">
      <c r="A5" s="3"/>
      <c r="B5" s="3"/>
      <c r="C5" s="3"/>
      <c r="D5" s="3"/>
      <c r="E5" s="3"/>
      <c r="F5" s="3"/>
      <c r="G5" s="3"/>
      <c r="H5" s="3"/>
      <c r="I5" s="3"/>
      <c r="J5" s="6" t="e">
        <f t="shared" ref="J5:J34" si="1">J4-G5+H5</f>
        <v>#REF!</v>
      </c>
      <c r="K5" s="3" t="e">
        <f t="shared" si="0"/>
        <v>#REF!</v>
      </c>
      <c r="L5" s="3"/>
      <c r="M5" s="3"/>
      <c r="N5" s="3"/>
    </row>
    <row r="6" spans="1:14" x14ac:dyDescent="0.35">
      <c r="A6" s="3"/>
      <c r="B6" s="3"/>
      <c r="C6" s="3"/>
      <c r="D6" s="3"/>
      <c r="E6" s="3"/>
      <c r="F6" s="3"/>
      <c r="G6" s="3"/>
      <c r="H6" s="3"/>
      <c r="I6" s="3"/>
      <c r="J6" s="6" t="e">
        <f t="shared" si="1"/>
        <v>#REF!</v>
      </c>
      <c r="K6" s="3" t="e">
        <f t="shared" si="0"/>
        <v>#REF!</v>
      </c>
      <c r="L6" s="3"/>
      <c r="M6" s="3"/>
      <c r="N6" s="3"/>
    </row>
    <row r="7" spans="1:14" x14ac:dyDescent="0.35">
      <c r="A7" s="3"/>
      <c r="B7" s="3"/>
      <c r="C7" s="3"/>
      <c r="D7" s="3"/>
      <c r="E7" s="3"/>
      <c r="F7" s="3"/>
      <c r="G7" s="3"/>
      <c r="H7" s="3"/>
      <c r="I7" s="3"/>
      <c r="J7" s="6" t="e">
        <f t="shared" si="1"/>
        <v>#REF!</v>
      </c>
      <c r="K7" s="3" t="e">
        <f t="shared" si="0"/>
        <v>#REF!</v>
      </c>
      <c r="L7" s="3"/>
      <c r="M7" s="3"/>
      <c r="N7" s="3"/>
    </row>
    <row r="8" spans="1:14" x14ac:dyDescent="0.35">
      <c r="A8" s="3"/>
      <c r="B8" s="3"/>
      <c r="C8" s="3"/>
      <c r="D8" s="3"/>
      <c r="E8" s="3"/>
      <c r="F8" s="3"/>
      <c r="G8" s="3"/>
      <c r="H8" s="3"/>
      <c r="I8" s="3"/>
      <c r="J8" s="6" t="e">
        <f t="shared" si="1"/>
        <v>#REF!</v>
      </c>
      <c r="K8" s="3" t="e">
        <f t="shared" si="0"/>
        <v>#REF!</v>
      </c>
      <c r="L8" s="3"/>
      <c r="M8" s="3"/>
      <c r="N8" s="3"/>
    </row>
    <row r="9" spans="1:14" x14ac:dyDescent="0.35">
      <c r="A9" s="3"/>
      <c r="B9" s="3"/>
      <c r="C9" s="3"/>
      <c r="D9" s="3"/>
      <c r="E9" s="3"/>
      <c r="F9" s="3"/>
      <c r="G9" s="3"/>
      <c r="H9" s="3"/>
      <c r="I9" s="3"/>
      <c r="J9" s="6" t="e">
        <f t="shared" si="1"/>
        <v>#REF!</v>
      </c>
      <c r="K9" s="3" t="e">
        <f t="shared" si="0"/>
        <v>#REF!</v>
      </c>
      <c r="L9" s="3"/>
      <c r="M9" s="3"/>
      <c r="N9" s="3"/>
    </row>
    <row r="10" spans="1:14" x14ac:dyDescent="0.35">
      <c r="A10" s="3"/>
      <c r="B10" s="3"/>
      <c r="C10" s="3"/>
      <c r="D10" s="3"/>
      <c r="E10" s="3"/>
      <c r="F10" s="3"/>
      <c r="G10" s="3"/>
      <c r="H10" s="3"/>
      <c r="I10" s="3"/>
      <c r="J10" s="6" t="e">
        <f t="shared" si="1"/>
        <v>#REF!</v>
      </c>
      <c r="K10" s="3" t="e">
        <f t="shared" si="0"/>
        <v>#REF!</v>
      </c>
      <c r="L10" s="3"/>
      <c r="M10" s="3"/>
      <c r="N10" s="3"/>
    </row>
    <row r="11" spans="1:14" x14ac:dyDescent="0.35">
      <c r="A11" s="3"/>
      <c r="B11" s="3"/>
      <c r="C11" s="3"/>
      <c r="D11" s="3"/>
      <c r="E11" s="3"/>
      <c r="F11" s="3"/>
      <c r="G11" s="3"/>
      <c r="H11" s="3"/>
      <c r="I11" s="3"/>
      <c r="J11" s="6" t="e">
        <f t="shared" si="1"/>
        <v>#REF!</v>
      </c>
      <c r="K11" s="3" t="e">
        <f t="shared" si="0"/>
        <v>#REF!</v>
      </c>
      <c r="L11" s="3"/>
      <c r="M11" s="3"/>
      <c r="N11" s="3"/>
    </row>
    <row r="12" spans="1:14" x14ac:dyDescent="0.35">
      <c r="A12" s="3"/>
      <c r="B12" s="3"/>
      <c r="C12" s="3"/>
      <c r="D12" s="3"/>
      <c r="E12" s="3"/>
      <c r="F12" s="3"/>
      <c r="G12" s="3"/>
      <c r="H12" s="3"/>
      <c r="I12" s="3"/>
      <c r="J12" s="6" t="e">
        <f t="shared" si="1"/>
        <v>#REF!</v>
      </c>
      <c r="K12" s="3" t="e">
        <f t="shared" si="0"/>
        <v>#REF!</v>
      </c>
      <c r="L12" s="3"/>
      <c r="M12" s="3"/>
      <c r="N12" s="3"/>
    </row>
    <row r="13" spans="1:14" x14ac:dyDescent="0.35">
      <c r="A13" s="3"/>
      <c r="B13" s="3"/>
      <c r="C13" s="3"/>
      <c r="D13" s="3"/>
      <c r="E13" s="3"/>
      <c r="F13" s="3"/>
      <c r="G13" s="3"/>
      <c r="H13" s="3"/>
      <c r="I13" s="3"/>
      <c r="J13" s="6" t="e">
        <f t="shared" si="1"/>
        <v>#REF!</v>
      </c>
      <c r="K13" s="3" t="e">
        <f t="shared" si="0"/>
        <v>#REF!</v>
      </c>
      <c r="L13" s="3"/>
      <c r="M13" s="3"/>
      <c r="N13" s="3"/>
    </row>
    <row r="14" spans="1:14" x14ac:dyDescent="0.35">
      <c r="A14" s="3"/>
      <c r="B14" s="3"/>
      <c r="C14" s="3"/>
      <c r="D14" s="3"/>
      <c r="E14" s="3"/>
      <c r="F14" s="3"/>
      <c r="G14" s="3"/>
      <c r="H14" s="3"/>
      <c r="I14" s="3"/>
      <c r="J14" s="6" t="e">
        <f t="shared" si="1"/>
        <v>#REF!</v>
      </c>
      <c r="K14" s="3" t="e">
        <f t="shared" si="0"/>
        <v>#REF!</v>
      </c>
      <c r="L14" s="3"/>
      <c r="M14" s="3"/>
      <c r="N14" s="3"/>
    </row>
    <row r="15" spans="1:14" x14ac:dyDescent="0.35">
      <c r="A15" s="3"/>
      <c r="B15" s="3"/>
      <c r="C15" s="3"/>
      <c r="D15" s="3"/>
      <c r="E15" s="3"/>
      <c r="F15" s="3"/>
      <c r="G15" s="3"/>
      <c r="H15" s="3"/>
      <c r="I15" s="3"/>
      <c r="J15" s="6" t="e">
        <f t="shared" si="1"/>
        <v>#REF!</v>
      </c>
      <c r="K15" s="3" t="e">
        <f t="shared" si="0"/>
        <v>#REF!</v>
      </c>
      <c r="L15" s="3"/>
      <c r="M15" s="3"/>
      <c r="N15" s="3"/>
    </row>
    <row r="16" spans="1:14" x14ac:dyDescent="0.35">
      <c r="A16" s="3"/>
      <c r="B16" s="3"/>
      <c r="C16" s="3"/>
      <c r="D16" s="3"/>
      <c r="E16" s="3"/>
      <c r="F16" s="3"/>
      <c r="G16" s="3"/>
      <c r="H16" s="3"/>
      <c r="I16" s="3"/>
      <c r="J16" s="6" t="e">
        <f t="shared" si="1"/>
        <v>#REF!</v>
      </c>
      <c r="K16" s="3" t="e">
        <f t="shared" si="0"/>
        <v>#REF!</v>
      </c>
      <c r="L16" s="3"/>
      <c r="M16" s="3"/>
      <c r="N16" s="3"/>
    </row>
    <row r="17" spans="1:14" x14ac:dyDescent="0.35">
      <c r="A17" s="3"/>
      <c r="B17" s="3"/>
      <c r="C17" s="3"/>
      <c r="D17" s="3"/>
      <c r="E17" s="3"/>
      <c r="F17" s="3"/>
      <c r="G17" s="3"/>
      <c r="H17" s="3"/>
      <c r="I17" s="3"/>
      <c r="J17" s="6" t="e">
        <f t="shared" si="1"/>
        <v>#REF!</v>
      </c>
      <c r="K17" s="3" t="e">
        <f t="shared" si="0"/>
        <v>#REF!</v>
      </c>
      <c r="L17" s="3"/>
      <c r="M17" s="3"/>
      <c r="N17" s="3"/>
    </row>
    <row r="18" spans="1:14" x14ac:dyDescent="0.35">
      <c r="A18" s="3"/>
      <c r="B18" s="3"/>
      <c r="C18" s="3"/>
      <c r="D18" s="3"/>
      <c r="E18" s="3"/>
      <c r="F18" s="3"/>
      <c r="G18" s="3"/>
      <c r="H18" s="3"/>
      <c r="I18" s="3"/>
      <c r="J18" s="6" t="e">
        <f t="shared" si="1"/>
        <v>#REF!</v>
      </c>
      <c r="K18" s="3" t="e">
        <f t="shared" si="0"/>
        <v>#REF!</v>
      </c>
      <c r="L18" s="3"/>
      <c r="M18" s="3"/>
      <c r="N18" s="3"/>
    </row>
    <row r="19" spans="1:14" x14ac:dyDescent="0.35">
      <c r="A19" s="3"/>
      <c r="B19" s="3"/>
      <c r="C19" s="3"/>
      <c r="D19" s="3"/>
      <c r="E19" s="3"/>
      <c r="F19" s="3"/>
      <c r="G19" s="3"/>
      <c r="H19" s="3"/>
      <c r="I19" s="3"/>
      <c r="J19" s="6" t="e">
        <f t="shared" si="1"/>
        <v>#REF!</v>
      </c>
      <c r="K19" s="3" t="e">
        <f t="shared" si="0"/>
        <v>#REF!</v>
      </c>
      <c r="L19" s="3"/>
      <c r="M19" s="3"/>
      <c r="N19" s="3"/>
    </row>
    <row r="20" spans="1:14" x14ac:dyDescent="0.35">
      <c r="A20" s="3"/>
      <c r="B20" s="3"/>
      <c r="C20" s="3"/>
      <c r="D20" s="3"/>
      <c r="E20" s="3"/>
      <c r="F20" s="3"/>
      <c r="G20" s="3"/>
      <c r="H20" s="3"/>
      <c r="I20" s="3"/>
      <c r="J20" s="6" t="e">
        <f t="shared" si="1"/>
        <v>#REF!</v>
      </c>
      <c r="K20" s="3" t="e">
        <f t="shared" si="0"/>
        <v>#REF!</v>
      </c>
      <c r="L20" s="3"/>
      <c r="M20" s="3"/>
      <c r="N20" s="3"/>
    </row>
    <row r="21" spans="1:14" x14ac:dyDescent="0.35">
      <c r="A21" s="3"/>
      <c r="B21" s="3"/>
      <c r="C21" s="3"/>
      <c r="D21" s="3"/>
      <c r="E21" s="3"/>
      <c r="F21" s="3"/>
      <c r="G21" s="3"/>
      <c r="H21" s="3"/>
      <c r="I21" s="3"/>
      <c r="J21" s="6" t="e">
        <f t="shared" si="1"/>
        <v>#REF!</v>
      </c>
      <c r="K21" s="3" t="e">
        <f t="shared" si="0"/>
        <v>#REF!</v>
      </c>
      <c r="L21" s="3"/>
      <c r="M21" s="3"/>
      <c r="N21" s="3"/>
    </row>
    <row r="22" spans="1:14" x14ac:dyDescent="0.35">
      <c r="A22" s="3"/>
      <c r="B22" s="3"/>
      <c r="C22" s="3"/>
      <c r="D22" s="3"/>
      <c r="E22" s="3"/>
      <c r="F22" s="3"/>
      <c r="G22" s="3"/>
      <c r="H22" s="3"/>
      <c r="I22" s="3"/>
      <c r="J22" s="6" t="e">
        <f t="shared" si="1"/>
        <v>#REF!</v>
      </c>
      <c r="K22" s="3" t="e">
        <f t="shared" si="0"/>
        <v>#REF!</v>
      </c>
      <c r="L22" s="3"/>
      <c r="M22" s="3"/>
      <c r="N22" s="3"/>
    </row>
    <row r="23" spans="1:14" x14ac:dyDescent="0.35">
      <c r="A23" s="3"/>
      <c r="B23" s="3"/>
      <c r="C23" s="3"/>
      <c r="D23" s="3"/>
      <c r="E23" s="3"/>
      <c r="F23" s="3"/>
      <c r="G23" s="3"/>
      <c r="H23" s="3"/>
      <c r="I23" s="3"/>
      <c r="J23" s="6" t="e">
        <f t="shared" si="1"/>
        <v>#REF!</v>
      </c>
      <c r="K23" s="3" t="e">
        <f t="shared" si="0"/>
        <v>#REF!</v>
      </c>
      <c r="L23" s="3"/>
      <c r="M23" s="3"/>
      <c r="N23" s="3"/>
    </row>
    <row r="24" spans="1:14" x14ac:dyDescent="0.35">
      <c r="A24" s="3"/>
      <c r="B24" s="3"/>
      <c r="C24" s="3"/>
      <c r="D24" s="3"/>
      <c r="E24" s="3"/>
      <c r="F24" s="3"/>
      <c r="G24" s="3"/>
      <c r="H24" s="3"/>
      <c r="I24" s="3"/>
      <c r="J24" s="6" t="e">
        <f t="shared" si="1"/>
        <v>#REF!</v>
      </c>
      <c r="K24" s="3" t="e">
        <f t="shared" si="0"/>
        <v>#REF!</v>
      </c>
      <c r="L24" s="3"/>
      <c r="M24" s="3"/>
      <c r="N24" s="3"/>
    </row>
    <row r="25" spans="1:14" x14ac:dyDescent="0.35">
      <c r="A25" s="3"/>
      <c r="B25" s="3"/>
      <c r="C25" s="3"/>
      <c r="D25" s="3"/>
      <c r="E25" s="3"/>
      <c r="F25" s="3"/>
      <c r="G25" s="3"/>
      <c r="H25" s="3"/>
      <c r="I25" s="3"/>
      <c r="J25" s="6" t="e">
        <f t="shared" si="1"/>
        <v>#REF!</v>
      </c>
      <c r="K25" s="3" t="e">
        <f t="shared" si="0"/>
        <v>#REF!</v>
      </c>
      <c r="L25" s="3"/>
      <c r="M25" s="3"/>
      <c r="N25" s="3"/>
    </row>
    <row r="26" spans="1:14" x14ac:dyDescent="0.35">
      <c r="A26" s="3"/>
      <c r="B26" s="3"/>
      <c r="C26" s="3"/>
      <c r="D26" s="3"/>
      <c r="E26" s="3"/>
      <c r="F26" s="3"/>
      <c r="G26" s="3"/>
      <c r="H26" s="3"/>
      <c r="I26" s="3"/>
      <c r="J26" s="6" t="e">
        <f t="shared" si="1"/>
        <v>#REF!</v>
      </c>
      <c r="K26" s="3" t="e">
        <f t="shared" si="0"/>
        <v>#REF!</v>
      </c>
      <c r="L26" s="3"/>
      <c r="M26" s="3"/>
      <c r="N26" s="3"/>
    </row>
    <row r="27" spans="1:14" x14ac:dyDescent="0.35">
      <c r="A27" s="3"/>
      <c r="B27" s="3"/>
      <c r="C27" s="3"/>
      <c r="D27" s="3"/>
      <c r="E27" s="3"/>
      <c r="F27" s="3"/>
      <c r="G27" s="3"/>
      <c r="H27" s="3"/>
      <c r="I27" s="3"/>
      <c r="J27" s="6" t="e">
        <f t="shared" si="1"/>
        <v>#REF!</v>
      </c>
      <c r="K27" s="3" t="e">
        <f t="shared" si="0"/>
        <v>#REF!</v>
      </c>
      <c r="L27" s="3"/>
      <c r="M27" s="3"/>
      <c r="N27" s="3"/>
    </row>
    <row r="28" spans="1:14" x14ac:dyDescent="0.35">
      <c r="A28" s="3"/>
      <c r="B28" s="3"/>
      <c r="C28" s="3"/>
      <c r="D28" s="3"/>
      <c r="E28" s="3"/>
      <c r="F28" s="3"/>
      <c r="G28" s="3"/>
      <c r="H28" s="3"/>
      <c r="I28" s="3"/>
      <c r="J28" s="6" t="e">
        <f t="shared" si="1"/>
        <v>#REF!</v>
      </c>
      <c r="K28" s="3" t="e">
        <f t="shared" si="0"/>
        <v>#REF!</v>
      </c>
      <c r="L28" s="3"/>
      <c r="M28" s="3"/>
      <c r="N28" s="3"/>
    </row>
    <row r="29" spans="1:14" x14ac:dyDescent="0.35">
      <c r="A29" s="3"/>
      <c r="B29" s="3"/>
      <c r="C29" s="3"/>
      <c r="D29" s="3"/>
      <c r="E29" s="3"/>
      <c r="F29" s="3"/>
      <c r="G29" s="3"/>
      <c r="H29" s="3"/>
      <c r="I29" s="3"/>
      <c r="J29" s="6" t="e">
        <f t="shared" si="1"/>
        <v>#REF!</v>
      </c>
      <c r="K29" s="3" t="e">
        <f t="shared" si="0"/>
        <v>#REF!</v>
      </c>
      <c r="L29" s="3"/>
      <c r="M29" s="3"/>
      <c r="N29" s="3"/>
    </row>
    <row r="30" spans="1:14" x14ac:dyDescent="0.35">
      <c r="A30" s="3"/>
      <c r="B30" s="3"/>
      <c r="C30" s="3"/>
      <c r="D30" s="3"/>
      <c r="E30" s="3"/>
      <c r="F30" s="3"/>
      <c r="G30" s="3"/>
      <c r="H30" s="3"/>
      <c r="I30" s="3"/>
      <c r="J30" s="6" t="e">
        <f t="shared" si="1"/>
        <v>#REF!</v>
      </c>
      <c r="K30" s="3" t="e">
        <f t="shared" si="0"/>
        <v>#REF!</v>
      </c>
      <c r="L30" s="3"/>
      <c r="M30" s="3"/>
      <c r="N30" s="3"/>
    </row>
    <row r="31" spans="1:14" x14ac:dyDescent="0.35">
      <c r="A31" s="3"/>
      <c r="B31" s="3"/>
      <c r="C31" s="3"/>
      <c r="D31" s="3"/>
      <c r="E31" s="3"/>
      <c r="F31" s="3"/>
      <c r="G31" s="3"/>
      <c r="H31" s="3"/>
      <c r="I31" s="3"/>
      <c r="J31" s="6" t="e">
        <f t="shared" si="1"/>
        <v>#REF!</v>
      </c>
      <c r="K31" s="3" t="e">
        <f t="shared" si="0"/>
        <v>#REF!</v>
      </c>
      <c r="L31" s="3"/>
      <c r="M31" s="3"/>
      <c r="N31" s="3"/>
    </row>
    <row r="32" spans="1:14" x14ac:dyDescent="0.35">
      <c r="A32" s="3"/>
      <c r="B32" s="3"/>
      <c r="C32" s="3"/>
      <c r="D32" s="3"/>
      <c r="E32" s="3"/>
      <c r="F32" s="3"/>
      <c r="G32" s="3"/>
      <c r="H32" s="3"/>
      <c r="I32" s="3"/>
      <c r="J32" s="6" t="e">
        <f t="shared" si="1"/>
        <v>#REF!</v>
      </c>
      <c r="K32" s="3" t="e">
        <f t="shared" si="0"/>
        <v>#REF!</v>
      </c>
      <c r="L32" s="3"/>
      <c r="M32" s="3"/>
      <c r="N32" s="3"/>
    </row>
    <row r="33" spans="1:14" x14ac:dyDescent="0.35">
      <c r="A33" s="3"/>
      <c r="B33" s="3"/>
      <c r="C33" s="3"/>
      <c r="D33" s="3"/>
      <c r="E33" s="3"/>
      <c r="F33" s="3"/>
      <c r="G33" s="3"/>
      <c r="H33" s="3"/>
      <c r="I33" s="3"/>
      <c r="J33" s="6" t="e">
        <f t="shared" si="1"/>
        <v>#REF!</v>
      </c>
      <c r="K33" s="3" t="e">
        <f t="shared" si="0"/>
        <v>#REF!</v>
      </c>
      <c r="L33" s="3"/>
      <c r="M33" s="3"/>
      <c r="N33" s="3"/>
    </row>
    <row r="34" spans="1:14" x14ac:dyDescent="0.35">
      <c r="A34" s="3"/>
      <c r="B34" s="3"/>
      <c r="C34" s="3"/>
      <c r="D34" s="3"/>
      <c r="E34" s="3"/>
      <c r="F34" s="3"/>
      <c r="G34" s="3"/>
      <c r="H34" s="3"/>
      <c r="I34" s="3"/>
      <c r="J34" s="6" t="e">
        <f t="shared" si="1"/>
        <v>#REF!</v>
      </c>
      <c r="K34" s="3" t="e">
        <f t="shared" si="0"/>
        <v>#REF!</v>
      </c>
      <c r="L34" s="3"/>
      <c r="M34" s="3"/>
      <c r="N34" s="3"/>
    </row>
    <row r="35" spans="1:14" x14ac:dyDescent="0.35">
      <c r="A35" s="4" t="s">
        <v>18</v>
      </c>
      <c r="B35" s="3"/>
      <c r="C35" s="3"/>
      <c r="D35" s="3"/>
      <c r="E35" s="3"/>
      <c r="F35" s="3"/>
      <c r="G35" s="5" t="e">
        <f>SUM(G4:G34)</f>
        <v>#REF!</v>
      </c>
      <c r="H35" s="5" t="e">
        <f>SUM(H4:H34)</f>
        <v>#REF!</v>
      </c>
      <c r="I35" s="3"/>
      <c r="J35" s="3"/>
      <c r="K35" s="3"/>
      <c r="L35" s="3"/>
      <c r="M35" s="3"/>
      <c r="N35" s="3"/>
    </row>
  </sheetData>
  <mergeCells count="1">
    <mergeCell ref="A1:N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0</xdr:row>
                    <xdr:rowOff>50800</xdr:rowOff>
                  </from>
                  <to>
                    <xdr:col>6</xdr:col>
                    <xdr:colOff>762000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49</xdr:row>
                    <xdr:rowOff>6350</xdr:rowOff>
                  </from>
                  <to>
                    <xdr:col>6</xdr:col>
                    <xdr:colOff>762000</xdr:colOff>
                    <xdr:row>50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D35F5-241B-4D29-99D7-22F92E3BEE8C}">
  <sheetPr codeName="Sheet12"/>
  <dimension ref="A1:N35"/>
  <sheetViews>
    <sheetView rightToLeft="1" workbookViewId="0">
      <selection sqref="A1:N1"/>
    </sheetView>
  </sheetViews>
  <sheetFormatPr defaultRowHeight="14.5" x14ac:dyDescent="0.35"/>
  <cols>
    <col min="1" max="1" width="8.6328125" customWidth="1"/>
    <col min="2" max="3" width="12.6328125" customWidth="1"/>
    <col min="4" max="4" width="10.6328125" customWidth="1"/>
    <col min="5" max="5" width="35.6328125" customWidth="1"/>
    <col min="6" max="6" width="20.6328125" customWidth="1"/>
    <col min="7" max="8" width="14.6328125" customWidth="1"/>
    <col min="9" max="9" width="12.6328125" customWidth="1"/>
    <col min="10" max="10" width="14.6328125" customWidth="1"/>
    <col min="11" max="11" width="18.6328125" customWidth="1"/>
    <col min="12" max="12" width="22.6328125" customWidth="1"/>
    <col min="13" max="14" width="14.6328125" customWidth="1"/>
  </cols>
  <sheetData>
    <row r="1" spans="1:14" ht="18.5" x14ac:dyDescent="0.45">
      <c r="A1" s="24" t="s">
        <v>28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</row>
    <row r="2" spans="1:14" x14ac:dyDescent="0.35">
      <c r="A2" s="1" t="s">
        <v>1</v>
      </c>
      <c r="B2" s="1"/>
      <c r="C2" s="1" t="s">
        <v>2</v>
      </c>
      <c r="D2" s="1">
        <v>5000</v>
      </c>
    </row>
    <row r="3" spans="1:14" x14ac:dyDescent="0.35">
      <c r="A3" s="2" t="s">
        <v>3</v>
      </c>
      <c r="B3" s="2" t="s">
        <v>4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L3" s="2" t="s">
        <v>14</v>
      </c>
      <c r="M3" s="2" t="s">
        <v>15</v>
      </c>
      <c r="N3" s="2" t="s">
        <v>16</v>
      </c>
    </row>
    <row r="4" spans="1:14" x14ac:dyDescent="0.35">
      <c r="A4" s="3" t="s">
        <v>17</v>
      </c>
      <c r="B4" s="3"/>
      <c r="C4" s="3"/>
      <c r="D4" s="3"/>
      <c r="E4" s="3"/>
      <c r="F4" s="3"/>
      <c r="G4" s="6" t="e">
        <f>'11-نوفمبر'!G35</f>
        <v>#REF!</v>
      </c>
      <c r="H4" s="6" t="e">
        <f>'11-نوفمبر'!H35</f>
        <v>#REF!</v>
      </c>
      <c r="I4" s="3"/>
      <c r="J4" s="6" t="e">
        <f>C4-G4+H4</f>
        <v>#REF!</v>
      </c>
      <c r="K4" s="3" t="e">
        <f t="shared" ref="K4:K34" si="0">IF(J4&lt;200,"تنبيه: أعد التعبئة","مقبول")</f>
        <v>#REF!</v>
      </c>
      <c r="L4" s="3"/>
      <c r="M4" s="3"/>
      <c r="N4" s="3"/>
    </row>
    <row r="5" spans="1:14" x14ac:dyDescent="0.35">
      <c r="A5" s="3"/>
      <c r="B5" s="3"/>
      <c r="C5" s="3"/>
      <c r="D5" s="3"/>
      <c r="E5" s="3"/>
      <c r="F5" s="3"/>
      <c r="G5" s="3"/>
      <c r="H5" s="3"/>
      <c r="I5" s="3"/>
      <c r="J5" s="6" t="e">
        <f t="shared" ref="J5:J34" si="1">J4-G5+H5</f>
        <v>#REF!</v>
      </c>
      <c r="K5" s="3" t="e">
        <f t="shared" si="0"/>
        <v>#REF!</v>
      </c>
      <c r="L5" s="3"/>
      <c r="M5" s="3"/>
      <c r="N5" s="3"/>
    </row>
    <row r="6" spans="1:14" x14ac:dyDescent="0.35">
      <c r="A6" s="3"/>
      <c r="B6" s="3"/>
      <c r="C6" s="3"/>
      <c r="D6" s="3"/>
      <c r="E6" s="3"/>
      <c r="F6" s="3"/>
      <c r="G6" s="3"/>
      <c r="H6" s="3"/>
      <c r="I6" s="3"/>
      <c r="J6" s="6" t="e">
        <f t="shared" si="1"/>
        <v>#REF!</v>
      </c>
      <c r="K6" s="3" t="e">
        <f t="shared" si="0"/>
        <v>#REF!</v>
      </c>
      <c r="L6" s="3"/>
      <c r="M6" s="3"/>
      <c r="N6" s="3"/>
    </row>
    <row r="7" spans="1:14" x14ac:dyDescent="0.35">
      <c r="A7" s="3"/>
      <c r="B7" s="3"/>
      <c r="C7" s="3"/>
      <c r="D7" s="3"/>
      <c r="E7" s="3"/>
      <c r="F7" s="3"/>
      <c r="G7" s="3"/>
      <c r="H7" s="3"/>
      <c r="I7" s="3"/>
      <c r="J7" s="6" t="e">
        <f t="shared" si="1"/>
        <v>#REF!</v>
      </c>
      <c r="K7" s="3" t="e">
        <f t="shared" si="0"/>
        <v>#REF!</v>
      </c>
      <c r="L7" s="3"/>
      <c r="M7" s="3"/>
      <c r="N7" s="3"/>
    </row>
    <row r="8" spans="1:14" x14ac:dyDescent="0.35">
      <c r="A8" s="3"/>
      <c r="B8" s="3"/>
      <c r="C8" s="3"/>
      <c r="D8" s="3"/>
      <c r="E8" s="3"/>
      <c r="F8" s="3"/>
      <c r="G8" s="3"/>
      <c r="H8" s="3"/>
      <c r="I8" s="3"/>
      <c r="J8" s="6" t="e">
        <f t="shared" si="1"/>
        <v>#REF!</v>
      </c>
      <c r="K8" s="3" t="e">
        <f t="shared" si="0"/>
        <v>#REF!</v>
      </c>
      <c r="L8" s="3"/>
      <c r="M8" s="3"/>
      <c r="N8" s="3"/>
    </row>
    <row r="9" spans="1:14" x14ac:dyDescent="0.35">
      <c r="A9" s="3"/>
      <c r="B9" s="3"/>
      <c r="C9" s="3"/>
      <c r="D9" s="3"/>
      <c r="E9" s="3"/>
      <c r="F9" s="3"/>
      <c r="G9" s="3"/>
      <c r="H9" s="3"/>
      <c r="I9" s="3"/>
      <c r="J9" s="6" t="e">
        <f t="shared" si="1"/>
        <v>#REF!</v>
      </c>
      <c r="K9" s="3" t="e">
        <f t="shared" si="0"/>
        <v>#REF!</v>
      </c>
      <c r="L9" s="3"/>
      <c r="M9" s="3"/>
      <c r="N9" s="3"/>
    </row>
    <row r="10" spans="1:14" x14ac:dyDescent="0.35">
      <c r="A10" s="3"/>
      <c r="B10" s="3"/>
      <c r="C10" s="3"/>
      <c r="D10" s="3"/>
      <c r="E10" s="3"/>
      <c r="F10" s="3"/>
      <c r="G10" s="3"/>
      <c r="H10" s="3"/>
      <c r="I10" s="3"/>
      <c r="J10" s="6" t="e">
        <f t="shared" si="1"/>
        <v>#REF!</v>
      </c>
      <c r="K10" s="3" t="e">
        <f t="shared" si="0"/>
        <v>#REF!</v>
      </c>
      <c r="L10" s="3"/>
      <c r="M10" s="3"/>
      <c r="N10" s="3"/>
    </row>
    <row r="11" spans="1:14" x14ac:dyDescent="0.35">
      <c r="A11" s="3"/>
      <c r="B11" s="3"/>
      <c r="C11" s="3"/>
      <c r="D11" s="3"/>
      <c r="E11" s="3"/>
      <c r="F11" s="3"/>
      <c r="G11" s="3"/>
      <c r="H11" s="3"/>
      <c r="I11" s="3"/>
      <c r="J11" s="6" t="e">
        <f t="shared" si="1"/>
        <v>#REF!</v>
      </c>
      <c r="K11" s="3" t="e">
        <f t="shared" si="0"/>
        <v>#REF!</v>
      </c>
      <c r="L11" s="3"/>
      <c r="M11" s="3"/>
      <c r="N11" s="3"/>
    </row>
    <row r="12" spans="1:14" x14ac:dyDescent="0.35">
      <c r="A12" s="3"/>
      <c r="B12" s="3"/>
      <c r="C12" s="3"/>
      <c r="D12" s="3"/>
      <c r="E12" s="3"/>
      <c r="F12" s="3"/>
      <c r="G12" s="3"/>
      <c r="H12" s="3"/>
      <c r="I12" s="3"/>
      <c r="J12" s="6" t="e">
        <f t="shared" si="1"/>
        <v>#REF!</v>
      </c>
      <c r="K12" s="3" t="e">
        <f t="shared" si="0"/>
        <v>#REF!</v>
      </c>
      <c r="L12" s="3"/>
      <c r="M12" s="3"/>
      <c r="N12" s="3"/>
    </row>
    <row r="13" spans="1:14" x14ac:dyDescent="0.35">
      <c r="A13" s="3"/>
      <c r="B13" s="3"/>
      <c r="C13" s="3"/>
      <c r="D13" s="3"/>
      <c r="E13" s="3"/>
      <c r="F13" s="3"/>
      <c r="G13" s="3"/>
      <c r="H13" s="3"/>
      <c r="I13" s="3"/>
      <c r="J13" s="6" t="e">
        <f t="shared" si="1"/>
        <v>#REF!</v>
      </c>
      <c r="K13" s="3" t="e">
        <f t="shared" si="0"/>
        <v>#REF!</v>
      </c>
      <c r="L13" s="3"/>
      <c r="M13" s="3"/>
      <c r="N13" s="3"/>
    </row>
    <row r="14" spans="1:14" x14ac:dyDescent="0.35">
      <c r="A14" s="3"/>
      <c r="B14" s="3"/>
      <c r="C14" s="3"/>
      <c r="D14" s="3"/>
      <c r="E14" s="3"/>
      <c r="F14" s="3"/>
      <c r="G14" s="3"/>
      <c r="H14" s="3"/>
      <c r="I14" s="3"/>
      <c r="J14" s="6" t="e">
        <f t="shared" si="1"/>
        <v>#REF!</v>
      </c>
      <c r="K14" s="3" t="e">
        <f t="shared" si="0"/>
        <v>#REF!</v>
      </c>
      <c r="L14" s="3"/>
      <c r="M14" s="3"/>
      <c r="N14" s="3"/>
    </row>
    <row r="15" spans="1:14" x14ac:dyDescent="0.35">
      <c r="A15" s="3"/>
      <c r="B15" s="3"/>
      <c r="C15" s="3"/>
      <c r="D15" s="3"/>
      <c r="E15" s="3"/>
      <c r="F15" s="3"/>
      <c r="G15" s="3"/>
      <c r="H15" s="3"/>
      <c r="I15" s="3"/>
      <c r="J15" s="6" t="e">
        <f t="shared" si="1"/>
        <v>#REF!</v>
      </c>
      <c r="K15" s="3" t="e">
        <f t="shared" si="0"/>
        <v>#REF!</v>
      </c>
      <c r="L15" s="3"/>
      <c r="M15" s="3"/>
      <c r="N15" s="3"/>
    </row>
    <row r="16" spans="1:14" x14ac:dyDescent="0.35">
      <c r="A16" s="3"/>
      <c r="B16" s="3"/>
      <c r="C16" s="3"/>
      <c r="D16" s="3"/>
      <c r="E16" s="3"/>
      <c r="F16" s="3"/>
      <c r="G16" s="3"/>
      <c r="H16" s="3"/>
      <c r="I16" s="3"/>
      <c r="J16" s="6" t="e">
        <f t="shared" si="1"/>
        <v>#REF!</v>
      </c>
      <c r="K16" s="3" t="e">
        <f t="shared" si="0"/>
        <v>#REF!</v>
      </c>
      <c r="L16" s="3"/>
      <c r="M16" s="3"/>
      <c r="N16" s="3"/>
    </row>
    <row r="17" spans="1:14" x14ac:dyDescent="0.35">
      <c r="A17" s="3"/>
      <c r="B17" s="3"/>
      <c r="C17" s="3"/>
      <c r="D17" s="3"/>
      <c r="E17" s="3"/>
      <c r="F17" s="3"/>
      <c r="G17" s="3"/>
      <c r="H17" s="3"/>
      <c r="I17" s="3"/>
      <c r="J17" s="6" t="e">
        <f t="shared" si="1"/>
        <v>#REF!</v>
      </c>
      <c r="K17" s="3" t="e">
        <f t="shared" si="0"/>
        <v>#REF!</v>
      </c>
      <c r="L17" s="3"/>
      <c r="M17" s="3"/>
      <c r="N17" s="3"/>
    </row>
    <row r="18" spans="1:14" x14ac:dyDescent="0.35">
      <c r="A18" s="3"/>
      <c r="B18" s="3"/>
      <c r="C18" s="3"/>
      <c r="D18" s="3"/>
      <c r="E18" s="3"/>
      <c r="F18" s="3"/>
      <c r="G18" s="3"/>
      <c r="H18" s="3"/>
      <c r="I18" s="3"/>
      <c r="J18" s="6" t="e">
        <f t="shared" si="1"/>
        <v>#REF!</v>
      </c>
      <c r="K18" s="3" t="e">
        <f t="shared" si="0"/>
        <v>#REF!</v>
      </c>
      <c r="L18" s="3"/>
      <c r="M18" s="3"/>
      <c r="N18" s="3"/>
    </row>
    <row r="19" spans="1:14" x14ac:dyDescent="0.35">
      <c r="A19" s="3"/>
      <c r="B19" s="3"/>
      <c r="C19" s="3"/>
      <c r="D19" s="3"/>
      <c r="E19" s="3"/>
      <c r="F19" s="3"/>
      <c r="G19" s="3"/>
      <c r="H19" s="3"/>
      <c r="I19" s="3"/>
      <c r="J19" s="6" t="e">
        <f t="shared" si="1"/>
        <v>#REF!</v>
      </c>
      <c r="K19" s="3" t="e">
        <f t="shared" si="0"/>
        <v>#REF!</v>
      </c>
      <c r="L19" s="3"/>
      <c r="M19" s="3"/>
      <c r="N19" s="3"/>
    </row>
    <row r="20" spans="1:14" x14ac:dyDescent="0.35">
      <c r="A20" s="3"/>
      <c r="B20" s="3"/>
      <c r="C20" s="3"/>
      <c r="D20" s="3"/>
      <c r="E20" s="3"/>
      <c r="F20" s="3"/>
      <c r="G20" s="3"/>
      <c r="H20" s="3"/>
      <c r="I20" s="3"/>
      <c r="J20" s="6" t="e">
        <f t="shared" si="1"/>
        <v>#REF!</v>
      </c>
      <c r="K20" s="3" t="e">
        <f t="shared" si="0"/>
        <v>#REF!</v>
      </c>
      <c r="L20" s="3"/>
      <c r="M20" s="3"/>
      <c r="N20" s="3"/>
    </row>
    <row r="21" spans="1:14" x14ac:dyDescent="0.35">
      <c r="A21" s="3"/>
      <c r="B21" s="3"/>
      <c r="C21" s="3"/>
      <c r="D21" s="3"/>
      <c r="E21" s="3"/>
      <c r="F21" s="3"/>
      <c r="G21" s="3"/>
      <c r="H21" s="3"/>
      <c r="I21" s="3"/>
      <c r="J21" s="6" t="e">
        <f t="shared" si="1"/>
        <v>#REF!</v>
      </c>
      <c r="K21" s="3" t="e">
        <f t="shared" si="0"/>
        <v>#REF!</v>
      </c>
      <c r="L21" s="3"/>
      <c r="M21" s="3"/>
      <c r="N21" s="3"/>
    </row>
    <row r="22" spans="1:14" x14ac:dyDescent="0.35">
      <c r="A22" s="3"/>
      <c r="B22" s="3"/>
      <c r="C22" s="3"/>
      <c r="D22" s="3"/>
      <c r="E22" s="3"/>
      <c r="F22" s="3"/>
      <c r="G22" s="3"/>
      <c r="H22" s="3"/>
      <c r="I22" s="3"/>
      <c r="J22" s="6" t="e">
        <f t="shared" si="1"/>
        <v>#REF!</v>
      </c>
      <c r="K22" s="3" t="e">
        <f t="shared" si="0"/>
        <v>#REF!</v>
      </c>
      <c r="L22" s="3"/>
      <c r="M22" s="3"/>
      <c r="N22" s="3"/>
    </row>
    <row r="23" spans="1:14" x14ac:dyDescent="0.35">
      <c r="A23" s="3"/>
      <c r="B23" s="3"/>
      <c r="C23" s="3"/>
      <c r="D23" s="3"/>
      <c r="E23" s="3"/>
      <c r="F23" s="3"/>
      <c r="G23" s="3"/>
      <c r="H23" s="3"/>
      <c r="I23" s="3"/>
      <c r="J23" s="6" t="e">
        <f t="shared" si="1"/>
        <v>#REF!</v>
      </c>
      <c r="K23" s="3" t="e">
        <f t="shared" si="0"/>
        <v>#REF!</v>
      </c>
      <c r="L23" s="3"/>
      <c r="M23" s="3"/>
      <c r="N23" s="3"/>
    </row>
    <row r="24" spans="1:14" x14ac:dyDescent="0.35">
      <c r="A24" s="3"/>
      <c r="B24" s="3"/>
      <c r="C24" s="3"/>
      <c r="D24" s="3"/>
      <c r="E24" s="3"/>
      <c r="F24" s="3"/>
      <c r="G24" s="3"/>
      <c r="H24" s="3"/>
      <c r="I24" s="3"/>
      <c r="J24" s="6" t="e">
        <f t="shared" si="1"/>
        <v>#REF!</v>
      </c>
      <c r="K24" s="3" t="e">
        <f t="shared" si="0"/>
        <v>#REF!</v>
      </c>
      <c r="L24" s="3"/>
      <c r="M24" s="3"/>
      <c r="N24" s="3"/>
    </row>
    <row r="25" spans="1:14" x14ac:dyDescent="0.35">
      <c r="A25" s="3"/>
      <c r="B25" s="3"/>
      <c r="C25" s="3"/>
      <c r="D25" s="3"/>
      <c r="E25" s="3"/>
      <c r="F25" s="3"/>
      <c r="G25" s="3"/>
      <c r="H25" s="3"/>
      <c r="I25" s="3"/>
      <c r="J25" s="6" t="e">
        <f t="shared" si="1"/>
        <v>#REF!</v>
      </c>
      <c r="K25" s="3" t="e">
        <f t="shared" si="0"/>
        <v>#REF!</v>
      </c>
      <c r="L25" s="3"/>
      <c r="M25" s="3"/>
      <c r="N25" s="3"/>
    </row>
    <row r="26" spans="1:14" x14ac:dyDescent="0.35">
      <c r="A26" s="3"/>
      <c r="B26" s="3"/>
      <c r="C26" s="3"/>
      <c r="D26" s="3"/>
      <c r="E26" s="3"/>
      <c r="F26" s="3"/>
      <c r="G26" s="3"/>
      <c r="H26" s="3"/>
      <c r="I26" s="3"/>
      <c r="J26" s="6" t="e">
        <f t="shared" si="1"/>
        <v>#REF!</v>
      </c>
      <c r="K26" s="3" t="e">
        <f t="shared" si="0"/>
        <v>#REF!</v>
      </c>
      <c r="L26" s="3"/>
      <c r="M26" s="3"/>
      <c r="N26" s="3"/>
    </row>
    <row r="27" spans="1:14" x14ac:dyDescent="0.35">
      <c r="A27" s="3"/>
      <c r="B27" s="3"/>
      <c r="C27" s="3"/>
      <c r="D27" s="3"/>
      <c r="E27" s="3"/>
      <c r="F27" s="3"/>
      <c r="G27" s="3"/>
      <c r="H27" s="3"/>
      <c r="I27" s="3"/>
      <c r="J27" s="6" t="e">
        <f t="shared" si="1"/>
        <v>#REF!</v>
      </c>
      <c r="K27" s="3" t="e">
        <f t="shared" si="0"/>
        <v>#REF!</v>
      </c>
      <c r="L27" s="3"/>
      <c r="M27" s="3"/>
      <c r="N27" s="3"/>
    </row>
    <row r="28" spans="1:14" x14ac:dyDescent="0.35">
      <c r="A28" s="3"/>
      <c r="B28" s="3"/>
      <c r="C28" s="3"/>
      <c r="D28" s="3"/>
      <c r="E28" s="3"/>
      <c r="F28" s="3"/>
      <c r="G28" s="3"/>
      <c r="H28" s="3"/>
      <c r="I28" s="3"/>
      <c r="J28" s="6" t="e">
        <f t="shared" si="1"/>
        <v>#REF!</v>
      </c>
      <c r="K28" s="3" t="e">
        <f t="shared" si="0"/>
        <v>#REF!</v>
      </c>
      <c r="L28" s="3"/>
      <c r="M28" s="3"/>
      <c r="N28" s="3"/>
    </row>
    <row r="29" spans="1:14" x14ac:dyDescent="0.35">
      <c r="A29" s="3"/>
      <c r="B29" s="3"/>
      <c r="C29" s="3"/>
      <c r="D29" s="3"/>
      <c r="E29" s="3"/>
      <c r="F29" s="3"/>
      <c r="G29" s="3"/>
      <c r="H29" s="3"/>
      <c r="I29" s="3"/>
      <c r="J29" s="6" t="e">
        <f t="shared" si="1"/>
        <v>#REF!</v>
      </c>
      <c r="K29" s="3" t="e">
        <f t="shared" si="0"/>
        <v>#REF!</v>
      </c>
      <c r="L29" s="3"/>
      <c r="M29" s="3"/>
      <c r="N29" s="3"/>
    </row>
    <row r="30" spans="1:14" x14ac:dyDescent="0.35">
      <c r="A30" s="3"/>
      <c r="B30" s="3"/>
      <c r="C30" s="3"/>
      <c r="D30" s="3"/>
      <c r="E30" s="3"/>
      <c r="F30" s="3"/>
      <c r="G30" s="3"/>
      <c r="H30" s="3"/>
      <c r="I30" s="3"/>
      <c r="J30" s="6" t="e">
        <f t="shared" si="1"/>
        <v>#REF!</v>
      </c>
      <c r="K30" s="3" t="e">
        <f t="shared" si="0"/>
        <v>#REF!</v>
      </c>
      <c r="L30" s="3"/>
      <c r="M30" s="3"/>
      <c r="N30" s="3"/>
    </row>
    <row r="31" spans="1:14" x14ac:dyDescent="0.35">
      <c r="A31" s="3"/>
      <c r="B31" s="3"/>
      <c r="C31" s="3"/>
      <c r="D31" s="3"/>
      <c r="E31" s="3"/>
      <c r="F31" s="3"/>
      <c r="G31" s="3"/>
      <c r="H31" s="3"/>
      <c r="I31" s="3"/>
      <c r="J31" s="6" t="e">
        <f t="shared" si="1"/>
        <v>#REF!</v>
      </c>
      <c r="K31" s="3" t="e">
        <f t="shared" si="0"/>
        <v>#REF!</v>
      </c>
      <c r="L31" s="3"/>
      <c r="M31" s="3"/>
      <c r="N31" s="3"/>
    </row>
    <row r="32" spans="1:14" x14ac:dyDescent="0.35">
      <c r="A32" s="3"/>
      <c r="B32" s="3"/>
      <c r="C32" s="3"/>
      <c r="D32" s="3"/>
      <c r="E32" s="3"/>
      <c r="F32" s="3"/>
      <c r="G32" s="3"/>
      <c r="H32" s="3"/>
      <c r="I32" s="3"/>
      <c r="J32" s="6" t="e">
        <f t="shared" si="1"/>
        <v>#REF!</v>
      </c>
      <c r="K32" s="3" t="e">
        <f t="shared" si="0"/>
        <v>#REF!</v>
      </c>
      <c r="L32" s="3"/>
      <c r="M32" s="3"/>
      <c r="N32" s="3"/>
    </row>
    <row r="33" spans="1:14" x14ac:dyDescent="0.35">
      <c r="A33" s="3"/>
      <c r="B33" s="3"/>
      <c r="C33" s="3"/>
      <c r="D33" s="3"/>
      <c r="E33" s="3"/>
      <c r="F33" s="3"/>
      <c r="G33" s="3"/>
      <c r="H33" s="3"/>
      <c r="I33" s="3"/>
      <c r="J33" s="6" t="e">
        <f t="shared" si="1"/>
        <v>#REF!</v>
      </c>
      <c r="K33" s="3" t="e">
        <f t="shared" si="0"/>
        <v>#REF!</v>
      </c>
      <c r="L33" s="3"/>
      <c r="M33" s="3"/>
      <c r="N33" s="3"/>
    </row>
    <row r="34" spans="1:14" x14ac:dyDescent="0.35">
      <c r="A34" s="3"/>
      <c r="B34" s="3"/>
      <c r="C34" s="3"/>
      <c r="D34" s="3"/>
      <c r="E34" s="3"/>
      <c r="F34" s="3"/>
      <c r="G34" s="3"/>
      <c r="H34" s="3"/>
      <c r="I34" s="3"/>
      <c r="J34" s="6" t="e">
        <f t="shared" si="1"/>
        <v>#REF!</v>
      </c>
      <c r="K34" s="3" t="e">
        <f t="shared" si="0"/>
        <v>#REF!</v>
      </c>
      <c r="L34" s="3"/>
      <c r="M34" s="3"/>
      <c r="N34" s="3"/>
    </row>
    <row r="35" spans="1:14" x14ac:dyDescent="0.35">
      <c r="A35" s="4" t="s">
        <v>18</v>
      </c>
      <c r="B35" s="3"/>
      <c r="C35" s="3"/>
      <c r="D35" s="3"/>
      <c r="E35" s="3"/>
      <c r="F35" s="3"/>
      <c r="G35" s="5" t="e">
        <f>SUM(G4:G34)</f>
        <v>#REF!</v>
      </c>
      <c r="H35" s="5" t="e">
        <f>SUM(H4:H34)</f>
        <v>#REF!</v>
      </c>
      <c r="I35" s="3"/>
      <c r="J35" s="3"/>
      <c r="K35" s="3"/>
      <c r="L35" s="3"/>
      <c r="M35" s="3"/>
      <c r="N35" s="3"/>
    </row>
  </sheetData>
  <mergeCells count="1">
    <mergeCell ref="A1:N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0</xdr:row>
                    <xdr:rowOff>50800</xdr:rowOff>
                  </from>
                  <to>
                    <xdr:col>6</xdr:col>
                    <xdr:colOff>762000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49</xdr:row>
                    <xdr:rowOff>6350</xdr:rowOff>
                  </from>
                  <to>
                    <xdr:col>6</xdr:col>
                    <xdr:colOff>762000</xdr:colOff>
                    <xdr:row>50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DB543-00B2-40BD-AB51-6A294B7BF922}">
  <sheetPr codeName="Sheet13"/>
  <dimension ref="A1:I17"/>
  <sheetViews>
    <sheetView rightToLeft="1" topLeftCell="A3" workbookViewId="0">
      <selection sqref="A1:I1"/>
    </sheetView>
  </sheetViews>
  <sheetFormatPr defaultRowHeight="14.5" x14ac:dyDescent="0.35"/>
  <cols>
    <col min="1" max="1" width="6.6328125" customWidth="1"/>
    <col min="2" max="2" width="16.6328125" customWidth="1"/>
    <col min="3" max="3" width="20.6328125" customWidth="1"/>
    <col min="4" max="5" width="24.6328125" customWidth="1"/>
    <col min="6" max="8" width="22.6328125" customWidth="1"/>
  </cols>
  <sheetData>
    <row r="1" spans="1:9" ht="21" x14ac:dyDescent="0.5">
      <c r="A1" s="28" t="s">
        <v>29</v>
      </c>
      <c r="B1" s="28"/>
      <c r="C1" s="28"/>
      <c r="D1" s="28"/>
      <c r="E1" s="28"/>
      <c r="F1" s="28"/>
      <c r="G1" s="28"/>
      <c r="H1" s="28"/>
      <c r="I1" s="28"/>
    </row>
    <row r="2" spans="1:9" x14ac:dyDescent="0.35">
      <c r="A2" s="7" t="s">
        <v>30</v>
      </c>
    </row>
    <row r="4" spans="1:9" x14ac:dyDescent="0.35">
      <c r="A4" s="8" t="s">
        <v>31</v>
      </c>
      <c r="B4" s="8" t="s">
        <v>32</v>
      </c>
      <c r="C4" s="8" t="s">
        <v>33</v>
      </c>
      <c r="D4" s="8" t="s">
        <v>34</v>
      </c>
      <c r="E4" s="8" t="s">
        <v>35</v>
      </c>
      <c r="F4" s="8" t="s">
        <v>36</v>
      </c>
      <c r="G4" s="8" t="s">
        <v>37</v>
      </c>
      <c r="H4" s="8" t="s">
        <v>38</v>
      </c>
    </row>
    <row r="5" spans="1:9" x14ac:dyDescent="0.35">
      <c r="A5" s="9"/>
      <c r="B5" s="3" t="s">
        <v>39</v>
      </c>
      <c r="C5" s="6">
        <f>'01-يناير'!J4</f>
        <v>0</v>
      </c>
      <c r="D5" s="6">
        <f>'01-يناير'!H35</f>
        <v>0</v>
      </c>
      <c r="E5" s="6">
        <f>'01-يناير'!G35</f>
        <v>0</v>
      </c>
      <c r="F5" s="6">
        <f t="shared" ref="F5:F17" si="0">D5-E5</f>
        <v>0</v>
      </c>
      <c r="G5" s="6">
        <f>'01-يناير'!J35</f>
        <v>0</v>
      </c>
      <c r="H5" s="9" t="str">
        <f t="shared" ref="H5:H16" si="1">IF(G5&lt;200, "⚠️ عجز سيولة", "✅ مستقر")</f>
        <v>⚠️ عجز سيولة</v>
      </c>
    </row>
    <row r="6" spans="1:9" x14ac:dyDescent="0.35">
      <c r="A6" s="9"/>
      <c r="B6" s="3" t="s">
        <v>40</v>
      </c>
      <c r="C6" s="6">
        <f>'02-فبراير'!J4</f>
        <v>0</v>
      </c>
      <c r="D6" s="6">
        <f>'02-فبراير'!H35</f>
        <v>0</v>
      </c>
      <c r="E6" s="6">
        <f>'02-فبراير'!G35</f>
        <v>0</v>
      </c>
      <c r="F6" s="6">
        <f t="shared" si="0"/>
        <v>0</v>
      </c>
      <c r="G6" s="6">
        <f>'02-فبراير'!J35</f>
        <v>0</v>
      </c>
      <c r="H6" s="9" t="str">
        <f t="shared" si="1"/>
        <v>⚠️ عجز سيولة</v>
      </c>
    </row>
    <row r="7" spans="1:9" x14ac:dyDescent="0.35">
      <c r="A7" s="9"/>
      <c r="B7" s="3" t="s">
        <v>41</v>
      </c>
      <c r="C7" s="6">
        <f>'03-مارس'!J4</f>
        <v>0</v>
      </c>
      <c r="D7" s="6">
        <f>'03-مارس'!H35</f>
        <v>0</v>
      </c>
      <c r="E7" s="6">
        <f>'03-مارس'!G35</f>
        <v>0</v>
      </c>
      <c r="F7" s="6">
        <f t="shared" si="0"/>
        <v>0</v>
      </c>
      <c r="G7" s="6">
        <f>'03-مارس'!J35</f>
        <v>0</v>
      </c>
      <c r="H7" s="9" t="str">
        <f t="shared" si="1"/>
        <v>⚠️ عجز سيولة</v>
      </c>
    </row>
    <row r="8" spans="1:9" x14ac:dyDescent="0.35">
      <c r="A8" s="9"/>
      <c r="B8" s="3" t="s">
        <v>42</v>
      </c>
      <c r="C8" s="6">
        <f>'04-أبريل'!J4</f>
        <v>0</v>
      </c>
      <c r="D8" s="6">
        <f>'04-أبريل'!H35</f>
        <v>0</v>
      </c>
      <c r="E8" s="6">
        <f>'04-أبريل'!G35</f>
        <v>0</v>
      </c>
      <c r="F8" s="6">
        <f t="shared" si="0"/>
        <v>0</v>
      </c>
      <c r="G8" s="6">
        <f>'04-أبريل'!J35</f>
        <v>0</v>
      </c>
      <c r="H8" s="9" t="str">
        <f t="shared" si="1"/>
        <v>⚠️ عجز سيولة</v>
      </c>
    </row>
    <row r="9" spans="1:9" x14ac:dyDescent="0.35">
      <c r="A9" s="9"/>
      <c r="B9" s="3" t="s">
        <v>43</v>
      </c>
      <c r="C9" s="6">
        <f>'05-مايو'!J4</f>
        <v>0</v>
      </c>
      <c r="D9" s="6">
        <f>'05-مايو'!H35</f>
        <v>0</v>
      </c>
      <c r="E9" s="6">
        <f>'05-مايو'!G35</f>
        <v>0</v>
      </c>
      <c r="F9" s="6">
        <f t="shared" si="0"/>
        <v>0</v>
      </c>
      <c r="G9" s="6">
        <f>'05-مايو'!J35</f>
        <v>0</v>
      </c>
      <c r="H9" s="9" t="str">
        <f t="shared" si="1"/>
        <v>⚠️ عجز سيولة</v>
      </c>
    </row>
    <row r="10" spans="1:9" x14ac:dyDescent="0.35">
      <c r="A10" s="9"/>
      <c r="B10" s="3" t="s">
        <v>44</v>
      </c>
      <c r="C10" s="6">
        <f>'06-يونيو'!J4</f>
        <v>0</v>
      </c>
      <c r="D10" s="6">
        <f>'06-يونيو'!H35</f>
        <v>0</v>
      </c>
      <c r="E10" s="6">
        <f>'06-يونيو'!G35</f>
        <v>0</v>
      </c>
      <c r="F10" s="6">
        <f t="shared" si="0"/>
        <v>0</v>
      </c>
      <c r="G10" s="6">
        <f>'06-يونيو'!J35</f>
        <v>0</v>
      </c>
      <c r="H10" s="9" t="str">
        <f t="shared" si="1"/>
        <v>⚠️ عجز سيولة</v>
      </c>
    </row>
    <row r="11" spans="1:9" x14ac:dyDescent="0.35">
      <c r="A11" s="9"/>
      <c r="B11" s="3" t="s">
        <v>45</v>
      </c>
      <c r="C11" s="6">
        <f>'07-يوليو'!J4</f>
        <v>0</v>
      </c>
      <c r="D11" s="6">
        <f>'07-يوليو'!H35</f>
        <v>0</v>
      </c>
      <c r="E11" s="6">
        <f>'07-يوليو'!G35</f>
        <v>0</v>
      </c>
      <c r="F11" s="6">
        <f t="shared" si="0"/>
        <v>0</v>
      </c>
      <c r="G11" s="6">
        <f>'07-يوليو'!J35</f>
        <v>0</v>
      </c>
      <c r="H11" s="9" t="str">
        <f t="shared" si="1"/>
        <v>⚠️ عجز سيولة</v>
      </c>
    </row>
    <row r="12" spans="1:9" x14ac:dyDescent="0.35">
      <c r="A12" s="9"/>
      <c r="B12" s="3" t="s">
        <v>46</v>
      </c>
      <c r="C12" s="6">
        <f>اكتوبر!J4</f>
        <v>0</v>
      </c>
      <c r="D12" s="6">
        <f>اكتوبر!H35</f>
        <v>0</v>
      </c>
      <c r="E12" s="6">
        <f>اكتوبر!G35</f>
        <v>0</v>
      </c>
      <c r="F12" s="6">
        <f t="shared" si="0"/>
        <v>0</v>
      </c>
      <c r="G12" s="6">
        <f>اكتوبر!J35</f>
        <v>0</v>
      </c>
      <c r="H12" s="9" t="str">
        <f t="shared" si="1"/>
        <v>⚠️ عجز سيولة</v>
      </c>
    </row>
    <row r="13" spans="1:9" x14ac:dyDescent="0.35">
      <c r="A13" s="9"/>
      <c r="B13" s="3" t="s">
        <v>47</v>
      </c>
      <c r="C13" s="6">
        <f>'09-سبتمبر'!J4</f>
        <v>4695</v>
      </c>
      <c r="D13" s="6">
        <f>'09-سبتمبر'!H130</f>
        <v>61597</v>
      </c>
      <c r="E13" s="6">
        <f>'09-سبتمبر'!G130</f>
        <v>64040</v>
      </c>
      <c r="F13" s="6">
        <f t="shared" si="0"/>
        <v>-2443</v>
      </c>
      <c r="G13" s="6">
        <f>'09-سبتمبر'!J130</f>
        <v>0</v>
      </c>
      <c r="H13" s="9" t="str">
        <f t="shared" si="1"/>
        <v>⚠️ عجز سيولة</v>
      </c>
    </row>
    <row r="14" spans="1:9" x14ac:dyDescent="0.35">
      <c r="A14" s="9"/>
      <c r="B14" s="3" t="s">
        <v>48</v>
      </c>
      <c r="C14" s="6">
        <f>اغسطس!J4</f>
        <v>5000</v>
      </c>
      <c r="D14" s="6" t="e">
        <f>اغسطس!#REF!</f>
        <v>#REF!</v>
      </c>
      <c r="E14" s="6" t="e">
        <f>اغسطس!#REF!</f>
        <v>#REF!</v>
      </c>
      <c r="F14" s="6" t="e">
        <f t="shared" si="0"/>
        <v>#REF!</v>
      </c>
      <c r="G14" s="6" t="e">
        <f>اغسطس!#REF!</f>
        <v>#REF!</v>
      </c>
      <c r="H14" s="9" t="e">
        <f t="shared" si="1"/>
        <v>#REF!</v>
      </c>
    </row>
    <row r="15" spans="1:9" x14ac:dyDescent="0.35">
      <c r="A15" s="9"/>
      <c r="B15" s="3" t="s">
        <v>49</v>
      </c>
      <c r="C15" s="6" t="e">
        <f>'11-نوفمبر'!J4</f>
        <v>#REF!</v>
      </c>
      <c r="D15" s="6" t="e">
        <f>'11-نوفمبر'!H35</f>
        <v>#REF!</v>
      </c>
      <c r="E15" s="6" t="e">
        <f>'11-نوفمبر'!G35</f>
        <v>#REF!</v>
      </c>
      <c r="F15" s="6" t="e">
        <f t="shared" si="0"/>
        <v>#REF!</v>
      </c>
      <c r="G15" s="6">
        <f>'11-نوفمبر'!J35</f>
        <v>0</v>
      </c>
      <c r="H15" s="9" t="str">
        <f t="shared" si="1"/>
        <v>⚠️ عجز سيولة</v>
      </c>
    </row>
    <row r="16" spans="1:9" x14ac:dyDescent="0.35">
      <c r="A16" s="9"/>
      <c r="B16" s="3" t="s">
        <v>50</v>
      </c>
      <c r="C16" s="6" t="e">
        <f>'12-ديسمبر'!J4</f>
        <v>#REF!</v>
      </c>
      <c r="D16" s="6" t="e">
        <f>'12-ديسمبر'!H35</f>
        <v>#REF!</v>
      </c>
      <c r="E16" s="6" t="e">
        <f>'12-ديسمبر'!G35</f>
        <v>#REF!</v>
      </c>
      <c r="F16" s="6" t="e">
        <f t="shared" si="0"/>
        <v>#REF!</v>
      </c>
      <c r="G16" s="6">
        <f>'12-ديسمبر'!J35</f>
        <v>0</v>
      </c>
      <c r="H16" s="9" t="str">
        <f t="shared" si="1"/>
        <v>⚠️ عجز سيولة</v>
      </c>
    </row>
    <row r="17" spans="1:8" x14ac:dyDescent="0.35">
      <c r="A17" s="29" t="s">
        <v>51</v>
      </c>
      <c r="B17" s="29"/>
      <c r="C17" s="3"/>
      <c r="D17" s="5" t="e">
        <f>SUM(D5:D16)</f>
        <v>#REF!</v>
      </c>
      <c r="E17" s="5" t="e">
        <f>SUM(E5:E16)</f>
        <v>#REF!</v>
      </c>
      <c r="F17" s="5" t="e">
        <f t="shared" si="0"/>
        <v>#REF!</v>
      </c>
      <c r="G17" s="5">
        <f>G16</f>
        <v>0</v>
      </c>
      <c r="H17" s="3"/>
    </row>
  </sheetData>
  <mergeCells count="2">
    <mergeCell ref="A1:I1"/>
    <mergeCell ref="A17:B17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8CDD6-604F-4702-8995-874A46C55C19}">
  <sheetPr codeName="Sheet14"/>
  <dimension ref="A1:F10"/>
  <sheetViews>
    <sheetView rightToLeft="1" workbookViewId="0">
      <selection sqref="A1:F1"/>
    </sheetView>
  </sheetViews>
  <sheetFormatPr defaultRowHeight="14.5" x14ac:dyDescent="0.35"/>
  <cols>
    <col min="1" max="1" width="45.6328125" customWidth="1"/>
    <col min="2" max="2" width="25.6328125" customWidth="1"/>
    <col min="3" max="3" width="18.6328125" customWidth="1"/>
    <col min="4" max="4" width="20.6328125" customWidth="1"/>
  </cols>
  <sheetData>
    <row r="1" spans="1:6" ht="21" x14ac:dyDescent="0.5">
      <c r="A1" s="28" t="s">
        <v>52</v>
      </c>
      <c r="B1" s="28"/>
      <c r="C1" s="28"/>
      <c r="D1" s="28"/>
      <c r="E1" s="28"/>
      <c r="F1" s="28"/>
    </row>
    <row r="3" spans="1:6" ht="16" x14ac:dyDescent="0.4">
      <c r="A3" s="30" t="s">
        <v>53</v>
      </c>
      <c r="B3" s="30"/>
      <c r="C3" s="30"/>
      <c r="D3" s="30"/>
    </row>
    <row r="5" spans="1:6" x14ac:dyDescent="0.35">
      <c r="A5" s="2" t="s">
        <v>54</v>
      </c>
      <c r="B5" s="2" t="s">
        <v>55</v>
      </c>
      <c r="C5" s="2" t="s">
        <v>56</v>
      </c>
      <c r="D5" s="2" t="s">
        <v>57</v>
      </c>
    </row>
    <row r="6" spans="1:6" x14ac:dyDescent="0.35">
      <c r="A6" s="4" t="s">
        <v>58</v>
      </c>
      <c r="B6" s="6" t="e">
        <f>داشبورد_مجمع_الشهور!D17</f>
        <v>#REF!</v>
      </c>
      <c r="C6" s="3" t="s">
        <v>59</v>
      </c>
      <c r="D6" s="9" t="e">
        <f>IF(B6&gt;=0, "✅ إيجابي", "⚠️ عجز")</f>
        <v>#REF!</v>
      </c>
    </row>
    <row r="7" spans="1:6" x14ac:dyDescent="0.35">
      <c r="A7" s="4" t="s">
        <v>60</v>
      </c>
      <c r="B7" s="6" t="e">
        <f>داشبورد_مجمع_الشهور!E17</f>
        <v>#REF!</v>
      </c>
      <c r="C7" s="3" t="s">
        <v>59</v>
      </c>
      <c r="D7" s="9" t="e">
        <f>IF(B7&gt;=0, "✅ إيجابي", "⚠️ عجز")</f>
        <v>#REF!</v>
      </c>
    </row>
    <row r="8" spans="1:6" x14ac:dyDescent="0.35">
      <c r="A8" s="4" t="s">
        <v>61</v>
      </c>
      <c r="B8" s="6" t="e">
        <f>داشبورد_مجمع_الشهور!F17</f>
        <v>#REF!</v>
      </c>
      <c r="C8" s="3" t="s">
        <v>59</v>
      </c>
      <c r="D8" s="9" t="e">
        <f>IF(B8&gt;=0, "✅ إيجابي", "⚠️ عجز")</f>
        <v>#REF!</v>
      </c>
    </row>
    <row r="9" spans="1:6" x14ac:dyDescent="0.35">
      <c r="A9" s="4" t="s">
        <v>62</v>
      </c>
      <c r="B9" s="6">
        <f>داشبورد_مجمع_الشهور!G17</f>
        <v>0</v>
      </c>
      <c r="C9" s="3" t="s">
        <v>59</v>
      </c>
      <c r="D9" s="9" t="str">
        <f>IF(B9&gt;=0, "✅ إيجابي", "⚠️ عجز")</f>
        <v>✅ إيجابي</v>
      </c>
    </row>
    <row r="10" spans="1:6" x14ac:dyDescent="0.35">
      <c r="A10" s="4" t="s">
        <v>63</v>
      </c>
      <c r="B10" s="10" t="e">
        <f>داشبورد_مجمع_الشهور!D17/داشبورد_مجمع_الشهور!E17</f>
        <v>#REF!</v>
      </c>
      <c r="C10" s="3" t="s">
        <v>64</v>
      </c>
      <c r="D10" s="9" t="e">
        <f>IF(B10&gt;=1, "✅ إيجابي", "⚠️ مصروفات أعلى")</f>
        <v>#REF!</v>
      </c>
    </row>
  </sheetData>
  <mergeCells count="2">
    <mergeCell ref="A1:F1"/>
    <mergeCell ref="A3:D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01-يناير</vt:lpstr>
      <vt:lpstr>02-فبراير</vt:lpstr>
      <vt:lpstr>03-مارس</vt:lpstr>
      <vt:lpstr>04-أبريل</vt:lpstr>
      <vt:lpstr>05-مايو</vt:lpstr>
      <vt:lpstr>06-يونيو</vt:lpstr>
      <vt:lpstr>07-يوليو</vt:lpstr>
      <vt:lpstr>اغسطس</vt:lpstr>
      <vt:lpstr>09-سبتمبر</vt:lpstr>
      <vt:lpstr>اكتوبر</vt:lpstr>
      <vt:lpstr>11-نوفمبر</vt:lpstr>
      <vt:lpstr>12-ديسمبر</vt:lpstr>
      <vt:lpstr>داشبورد_مجمع_الشهور</vt:lpstr>
      <vt:lpstr>داشبورد_Year_To_Date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Elmangalify</dc:creator>
  <cp:lastModifiedBy>Kamel Elmangalify</cp:lastModifiedBy>
  <dcterms:created xsi:type="dcterms:W3CDTF">2026-09-03T08:36:51Z</dcterms:created>
  <dcterms:modified xsi:type="dcterms:W3CDTF">2026-09-10T10:24:03Z</dcterms:modified>
</cp:coreProperties>
</file>