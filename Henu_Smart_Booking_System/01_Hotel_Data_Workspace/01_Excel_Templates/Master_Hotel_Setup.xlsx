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D22D7DD-015A-40C2-924A-19F217498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1_Hotel_Profile" sheetId="1" r:id="rId1"/>
    <sheet name="02_Room_Categories" sheetId="2" r:id="rId2"/>
    <sheet name="03_Rooms_Inventory" sheetId="3" r:id="rId3"/>
    <sheet name="04_Seasons_Setup" sheetId="4" r:id="rId4"/>
    <sheet name="05_Occupancy_Ru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2" i="2"/>
</calcChain>
</file>

<file path=xl/sharedStrings.xml><?xml version="1.0" encoding="utf-8"?>
<sst xmlns="http://schemas.openxmlformats.org/spreadsheetml/2006/main" count="288" uniqueCount="186">
  <si>
    <t>مفتاح الإعداد (Config Key)</t>
  </si>
  <si>
    <t>اسم الإعداد (Arabic Label)</t>
  </si>
  <si>
    <t>القيمة الحالية (Setting Value)</t>
  </si>
  <si>
    <t>ملاحظات وإرشادات التعديل</t>
  </si>
  <si>
    <t>hotel_name_ar</t>
  </si>
  <si>
    <t>اسم الفندق (بالعربية)</t>
  </si>
  <si>
    <t>فندق هينو السياحي</t>
  </si>
  <si>
    <t>يظهر في الفواتير وموقع الحجز</t>
  </si>
  <si>
    <t>hotel_name_en</t>
  </si>
  <si>
    <t>Hotel Name (English)</t>
  </si>
  <si>
    <t>Henu Boutique Hotel</t>
  </si>
  <si>
    <t>Displayed on OTAs &amp; Booking Engine</t>
  </si>
  <si>
    <t>currency_primary</t>
  </si>
  <si>
    <t>العملة الأساسية للنظام</t>
  </si>
  <si>
    <t>USD</t>
  </si>
  <si>
    <t>USD أو EGP (يوصى بـ USD للحجوزات الدولية)</t>
  </si>
  <si>
    <t>currency_secondary</t>
  </si>
  <si>
    <t>العملة الثانوية (المحلية)</t>
  </si>
  <si>
    <t>EGP</t>
  </si>
  <si>
    <t>تستخدم في الاستقبال والفواتير المحلية</t>
  </si>
  <si>
    <t>exchange_rate_usd_to_egp</t>
  </si>
  <si>
    <t>سعر الصرف (الدولار مقابل الجنيه)</t>
  </si>
  <si>
    <t>للتحويل التلقائي للأسعار</t>
  </si>
  <si>
    <t>direct_discount_percent</t>
  </si>
  <si>
    <t>نسبة خصم الحجز المباشر (%)</t>
  </si>
  <si>
    <t>خصم تلقائي للنزيل عند الحجز من موقع الفندق مباشرة</t>
  </si>
  <si>
    <t>tax_rate_percent</t>
  </si>
  <si>
    <t>ضريبة القيمة المضافة (%)</t>
  </si>
  <si>
    <t>تحسب اختيارياً بالفواتير</t>
  </si>
  <si>
    <t>service_charge_percent</t>
  </si>
  <si>
    <t>رسوم الخدمة (%)</t>
  </si>
  <si>
    <t>تضاف في الفواتير الرسمية</t>
  </si>
  <si>
    <t>phone_contact</t>
  </si>
  <si>
    <t>هاتف التواصل / واتساب الاستقبال</t>
  </si>
  <si>
    <t>يستقبل إشعارات الحجز الجديد</t>
  </si>
  <si>
    <t>email_contact</t>
  </si>
  <si>
    <t>البريد الإلكتروني الرسمي</t>
  </si>
  <si>
    <t>تصل إليه إشعارات الحجز</t>
  </si>
  <si>
    <t>city_location</t>
  </si>
  <si>
    <t>الموقع الجغرافي</t>
  </si>
  <si>
    <t>جميع البلكونات على الشارع الرئيسي - الروف له إطلالة أهرامات</t>
  </si>
  <si>
    <t>checkin_time</t>
  </si>
  <si>
    <t>موعد تسجيل الوصول الافتراضي (Check-in)</t>
  </si>
  <si>
    <t>14:00</t>
  </si>
  <si>
    <t>الساعة 2:00 ظهراً</t>
  </si>
  <si>
    <t>checkout_time</t>
  </si>
  <si>
    <t>موعد تسجيل المغادرة الافتراضي (Check-out)</t>
  </si>
  <si>
    <t>12:00</t>
  </si>
  <si>
    <t>الساعة 12:00 ظهراً</t>
  </si>
  <si>
    <t>كود الفئة (Category Code)</t>
  </si>
  <si>
    <t>اسم الفئة (بالعربية)</t>
  </si>
  <si>
    <t>Category Name (English)</t>
  </si>
  <si>
    <t>السعة القصوى (أفراد)</t>
  </si>
  <si>
    <t>مواصفات الأسرّة</t>
  </si>
  <si>
    <t>السعر الأساسي ($ USD)</t>
  </si>
  <si>
    <t>السعر بالجنيه (ج.م EGP)</t>
  </si>
  <si>
    <t>المرافق والتجهيزات (Amenities)</t>
  </si>
  <si>
    <t>SGL_BALC</t>
  </si>
  <si>
    <t>غرفة سنجل بلكونة على الشارع</t>
  </si>
  <si>
    <t>Single Room Main Street Balcony</t>
  </si>
  <si>
    <t>1 سرير سنجل فردي</t>
  </si>
  <si>
    <t>بلكونة على الشارع الرئيسي، مكتب عمل، تكييف، واي فاي مجاني</t>
  </si>
  <si>
    <t>STD_DBL</t>
  </si>
  <si>
    <t>غرفة دابل قياسية</t>
  </si>
  <si>
    <t>Standard Double Room</t>
  </si>
  <si>
    <t>1 سرير دابل كبير</t>
  </si>
  <si>
    <t>تكييف، شاشة تلفزيون، حمام خاص، واي فاي</t>
  </si>
  <si>
    <t>DBL_BALC</t>
  </si>
  <si>
    <t>غرفة دابل بلكونة على الشارع</t>
  </si>
  <si>
    <t>Double Room Main Street Balcony</t>
  </si>
  <si>
    <t>بلكونة على الشارع الرئيسي، تكييف، شاشة تلفزيون، واي فاي</t>
  </si>
  <si>
    <t>KNG_ROOM</t>
  </si>
  <si>
    <t>غرفة كينج سرير كبير</t>
  </si>
  <si>
    <t>King Room</t>
  </si>
  <si>
    <t>1 سرير كينج مريح</t>
  </si>
  <si>
    <t>سرير كينج واسع، تكييف، ثلاجة ميني بار، شاشة تلفزيون</t>
  </si>
  <si>
    <t>KNG_BALC</t>
  </si>
  <si>
    <t>غرفة كينج بلكونة على الشارع</t>
  </si>
  <si>
    <t>King Room Main Street Balcony</t>
  </si>
  <si>
    <t>بلكونة على الشارع الرئيسي، سرير كينج واسع، ميني بار، شاشة تلفزيون</t>
  </si>
  <si>
    <t>TRP_FAM</t>
  </si>
  <si>
    <t>غرفة عائلية ثلاثية (3 أسرّة)</t>
  </si>
  <si>
    <t>Family Triple Room (3 Beds)</t>
  </si>
  <si>
    <t>3 أسرّة فردية</t>
  </si>
  <si>
    <t>مساحة عائلية واسعة، 3 أسرة مريحة، حمام خاص، تكييف</t>
  </si>
  <si>
    <t>QUAD_FAM</t>
  </si>
  <si>
    <t>غرفة عائلية رباعية (4 أفراد)</t>
  </si>
  <si>
    <t>Family Quadruple Room (4 Guests)</t>
  </si>
  <si>
    <t>سرير كينج + 2 سرير فردي</t>
  </si>
  <si>
    <t>أكبر غرفة عائلية بالفندق، سعة 4 أفراد، جلسة عائلية، ثلاجة، شاشة ذكية</t>
  </si>
  <si>
    <t>رقم الغرفة (Room Number)</t>
  </si>
  <si>
    <t>الدور / الطابق (Floor)</t>
  </si>
  <si>
    <t>كود فئة الغرفة (Category Code)</t>
  </si>
  <si>
    <t>نوع الإطلالة والموقع الدقيق</t>
  </si>
  <si>
    <t>الحالة التشغيلية الحالية</t>
  </si>
  <si>
    <t>ملاحظات الصيانة والتشغيل</t>
  </si>
  <si>
    <t>101</t>
  </si>
  <si>
    <t>الدور الأول</t>
  </si>
  <si>
    <t>متاحة</t>
  </si>
  <si>
    <t>جاهزة</t>
  </si>
  <si>
    <t>102</t>
  </si>
  <si>
    <t>شباك داخلي هادئ</t>
  </si>
  <si>
    <t>سرير كينج مريح</t>
  </si>
  <si>
    <t>103</t>
  </si>
  <si>
    <t>شباك واسع</t>
  </si>
  <si>
    <t>غرفة عائلية رباعية 4 أفراد</t>
  </si>
  <si>
    <t>104</t>
  </si>
  <si>
    <t>201</t>
  </si>
  <si>
    <t>الدور الثاني</t>
  </si>
  <si>
    <t>بلكونة على الشارع الرئيسي</t>
  </si>
  <si>
    <t>بلكونة شارع رئيسي</t>
  </si>
  <si>
    <t>202</t>
  </si>
  <si>
    <t>203</t>
  </si>
  <si>
    <t>شباك داخلي</t>
  </si>
  <si>
    <t>204</t>
  </si>
  <si>
    <t>سرير كينج</t>
  </si>
  <si>
    <t>205</t>
  </si>
  <si>
    <t>206</t>
  </si>
  <si>
    <t>شباك جانبي واسع</t>
  </si>
  <si>
    <t>عائلية 3 أسرة فردية</t>
  </si>
  <si>
    <t>207</t>
  </si>
  <si>
    <t>301</t>
  </si>
  <si>
    <t>الدور الثالث</t>
  </si>
  <si>
    <t>302</t>
  </si>
  <si>
    <t>303</t>
  </si>
  <si>
    <t>شباك خارجي</t>
  </si>
  <si>
    <t>304</t>
  </si>
  <si>
    <t>305</t>
  </si>
  <si>
    <t>شباك خارجي هادئ</t>
  </si>
  <si>
    <t>306</t>
  </si>
  <si>
    <t>307</t>
  </si>
  <si>
    <t>401</t>
  </si>
  <si>
    <t>الدور الرابع</t>
  </si>
  <si>
    <t>402</t>
  </si>
  <si>
    <t>403</t>
  </si>
  <si>
    <t>شباك خارجي علوي</t>
  </si>
  <si>
    <t>بالقرب من الروف</t>
  </si>
  <si>
    <t>404</t>
  </si>
  <si>
    <t>405</t>
  </si>
  <si>
    <t>شباك علوي هادئ</t>
  </si>
  <si>
    <t>406</t>
  </si>
  <si>
    <t>شباك عائلي علوي</t>
  </si>
  <si>
    <t>407</t>
  </si>
  <si>
    <t>اسم الموسم (Season Name)</t>
  </si>
  <si>
    <t>تاريخ البدء (Start Date: YYYY-MM-DD)</t>
  </si>
  <si>
    <t>تاريخ الانتهاء (End Date: YYYY-MM-DD)</t>
  </si>
  <si>
    <t>معامل زيادة السعر (Multiplier)</t>
  </si>
  <si>
    <t>نسبة الزيادة المئوية (%)</t>
  </si>
  <si>
    <t>ملاحظات الاستراتيجية التلقائية</t>
  </si>
  <si>
    <t>موسم الشتاء والذروة السياحية</t>
  </si>
  <si>
    <t>2026-10-01</t>
  </si>
  <si>
    <t>2027-04-30</t>
  </si>
  <si>
    <t>+30%</t>
  </si>
  <si>
    <t>يبدأ تلقائياً أول أكتوبر لجميع الغرف وجميع المنصات</t>
  </si>
  <si>
    <t>أعياد رأس السنة والكريسماس</t>
  </si>
  <si>
    <t>2026-12-20</t>
  </si>
  <si>
    <t>2027-01-08</t>
  </si>
  <si>
    <t>+50%</t>
  </si>
  <si>
    <t>ذروة الطلب العالمية - أعلى سعر للغرف</t>
  </si>
  <si>
    <t>موسم الصيف العادي</t>
  </si>
  <si>
    <t>2027-05-01</t>
  </si>
  <si>
    <t>2027-09-30</t>
  </si>
  <si>
    <t>0% (Base)</t>
  </si>
  <si>
    <t>تطبيق السعر الأساسي للغرفة دون زيادة</t>
  </si>
  <si>
    <t>شريحة الإشغال (Tier Name)</t>
  </si>
  <si>
    <t>من نسبة إشغال (%)</t>
  </si>
  <si>
    <t>إلى نسبة إشغال (%)</t>
  </si>
  <si>
    <t>تعديل السعر التلقائي (%)</t>
  </si>
  <si>
    <t>معامل الضرب (Multiplier)</t>
  </si>
  <si>
    <t>وصف السلوك الذكي للخوارزمية</t>
  </si>
  <si>
    <t>1. إشغال مبكر / منخفض</t>
  </si>
  <si>
    <t>البيع بالسعر الأساسي لتشجيع وتثبيت الحجوزات المبكرة</t>
  </si>
  <si>
    <t>2. إشغال متوسط ونشط</t>
  </si>
  <si>
    <t>+15%</t>
  </si>
  <si>
    <t>رفع السعر تلقائياً مع تسارع الحجوزات وتأكيد الطلب</t>
  </si>
  <si>
    <t>3. إشغال مرتفع وحرج</t>
  </si>
  <si>
    <t>استغلال ندرة الغرف المتبقية لتعظيم متوسط سعر الليلة ADR</t>
  </si>
  <si>
    <t>4. ذروة الإشغال (آخر الغرف)</t>
  </si>
  <si>
    <t>بيع آخر غرفتين إلى 3 غرف بأعلى عائد ممكن للنزلاء المضطرين</t>
  </si>
  <si>
    <t>info@henuhotel.com</t>
  </si>
  <si>
    <t>شارع جمالعبدالناصر ابوالهول - نزلة السمان</t>
  </si>
  <si>
    <t>شباك   داخلي هادئ</t>
  </si>
  <si>
    <t>شباك   هادئ</t>
  </si>
  <si>
    <t xml:space="preserve">كينج  </t>
  </si>
  <si>
    <t>شباك   جانبي</t>
  </si>
  <si>
    <t>شباك   علوي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</si>
</sst>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1E293B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henuho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rightToLeft="1" tabSelected="1" workbookViewId="0">
      <selection activeCell="C4" sqref="C4"/>
    </sheetView>
  </sheetViews>
  <sheetFormatPr defaultRowHeight="14.5" x14ac:dyDescent="0.35"/>
  <cols>
    <col min="1" max="1" width="28" customWidth="1"/>
    <col min="2" max="2" width="32" customWidth="1"/>
    <col min="3" max="3" width="40" customWidth="1"/>
    <col min="4" max="4" width="45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4" customHeight="1" x14ac:dyDescent="0.35">
      <c r="A3" s="3" t="s">
        <v>8</v>
      </c>
      <c r="B3" s="3" t="s">
        <v>9</v>
      </c>
      <c r="C3" s="3" t="s">
        <v>10</v>
      </c>
      <c r="D3" s="3" t="s">
        <v>11</v>
      </c>
    </row>
    <row r="4" spans="1:4" ht="24" customHeigh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24" customHeight="1" x14ac:dyDescent="0.35">
      <c r="A5" s="3" t="s">
        <v>16</v>
      </c>
      <c r="B5" s="3" t="s">
        <v>17</v>
      </c>
      <c r="C5" s="3" t="s">
        <v>18</v>
      </c>
      <c r="D5" s="3" t="s">
        <v>19</v>
      </c>
    </row>
    <row r="6" spans="1:4" ht="24" customHeight="1" x14ac:dyDescent="0.35">
      <c r="A6" s="2" t="s">
        <v>20</v>
      </c>
      <c r="B6" s="2" t="s">
        <v>21</v>
      </c>
      <c r="C6" s="2">
        <v>50</v>
      </c>
      <c r="D6" s="2" t="s">
        <v>22</v>
      </c>
    </row>
    <row r="7" spans="1:4" ht="24" customHeight="1" x14ac:dyDescent="0.35">
      <c r="A7" s="3" t="s">
        <v>23</v>
      </c>
      <c r="B7" s="3" t="s">
        <v>24</v>
      </c>
      <c r="C7" s="3">
        <v>10</v>
      </c>
      <c r="D7" s="3" t="s">
        <v>25</v>
      </c>
    </row>
    <row r="8" spans="1:4" ht="24" customHeight="1" x14ac:dyDescent="0.35">
      <c r="A8" s="2" t="s">
        <v>26</v>
      </c>
      <c r="B8" s="2" t="s">
        <v>27</v>
      </c>
      <c r="C8" s="2">
        <v>14</v>
      </c>
      <c r="D8" s="2" t="s">
        <v>28</v>
      </c>
    </row>
    <row r="9" spans="1:4" ht="24" customHeight="1" x14ac:dyDescent="0.35">
      <c r="A9" s="3" t="s">
        <v>29</v>
      </c>
      <c r="B9" s="3" t="s">
        <v>30</v>
      </c>
      <c r="C9" s="3">
        <v>12</v>
      </c>
      <c r="D9" s="3" t="s">
        <v>31</v>
      </c>
    </row>
    <row r="10" spans="1:4" ht="24" customHeight="1" x14ac:dyDescent="0.35">
      <c r="A10" s="2" t="s">
        <v>32</v>
      </c>
      <c r="B10" s="2" t="s">
        <v>33</v>
      </c>
      <c r="C10" s="4">
        <v>201000925827</v>
      </c>
      <c r="D10" s="2" t="s">
        <v>34</v>
      </c>
    </row>
    <row r="11" spans="1:4" ht="24" customHeight="1" x14ac:dyDescent="0.35">
      <c r="A11" s="3" t="s">
        <v>35</v>
      </c>
      <c r="B11" s="3" t="s">
        <v>36</v>
      </c>
      <c r="C11" s="5" t="s">
        <v>179</v>
      </c>
      <c r="D11" s="3" t="s">
        <v>37</v>
      </c>
    </row>
    <row r="12" spans="1:4" ht="24" customHeight="1" x14ac:dyDescent="0.35">
      <c r="A12" s="2" t="s">
        <v>38</v>
      </c>
      <c r="B12" s="2" t="s">
        <v>39</v>
      </c>
      <c r="C12" s="2" t="s">
        <v>180</v>
      </c>
      <c r="D12" s="2" t="s">
        <v>40</v>
      </c>
    </row>
    <row r="13" spans="1:4" ht="24" customHeight="1" x14ac:dyDescent="0.35">
      <c r="A13" s="3" t="s">
        <v>41</v>
      </c>
      <c r="B13" s="3" t="s">
        <v>42</v>
      </c>
      <c r="C13" s="3" t="s">
        <v>43</v>
      </c>
      <c r="D13" s="3" t="s">
        <v>44</v>
      </c>
    </row>
    <row r="14" spans="1:4" ht="24" customHeight="1" x14ac:dyDescent="0.35">
      <c r="A14" s="2" t="s">
        <v>45</v>
      </c>
      <c r="B14" s="2" t="s">
        <v>46</v>
      </c>
      <c r="C14" s="2" t="s">
        <v>47</v>
      </c>
      <c r="D14" s="2" t="s">
        <v>48</v>
      </c>
    </row>
  </sheetData>
  <hyperlinks>
    <hyperlink ref="C11" r:id="rId1" xr:uid="{468399D9-C276-4F2B-8631-A9F65711E4AC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rightToLeft="1" topLeftCell="B1" workbookViewId="0">
      <selection activeCell="G10" sqref="G10"/>
    </sheetView>
  </sheetViews>
  <sheetFormatPr defaultRowHeight="14.5" x14ac:dyDescent="0.35"/>
  <cols>
    <col min="1" max="1" width="22" customWidth="1"/>
    <col min="2" max="3" width="30" customWidth="1"/>
    <col min="4" max="4" width="18" customWidth="1"/>
    <col min="5" max="5" width="26" customWidth="1"/>
    <col min="6" max="7" width="22" customWidth="1"/>
    <col min="8" max="8" width="50" customWidth="1"/>
  </cols>
  <sheetData>
    <row r="1" spans="1:8" ht="30" customHeight="1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ht="24" customHeight="1" x14ac:dyDescent="0.35">
      <c r="A2" s="2" t="s">
        <v>57</v>
      </c>
      <c r="B2" s="2" t="s">
        <v>58</v>
      </c>
      <c r="C2" s="2" t="s">
        <v>59</v>
      </c>
      <c r="D2" s="2">
        <v>1</v>
      </c>
      <c r="E2" s="2" t="s">
        <v>60</v>
      </c>
      <c r="F2" s="2">
        <v>15</v>
      </c>
      <c r="G2" s="2">
        <f>F2*50</f>
        <v>750</v>
      </c>
      <c r="H2" s="2" t="s">
        <v>61</v>
      </c>
    </row>
    <row r="3" spans="1:8" ht="24" customHeight="1" x14ac:dyDescent="0.35">
      <c r="A3" s="3" t="s">
        <v>62</v>
      </c>
      <c r="B3" s="3" t="s">
        <v>63</v>
      </c>
      <c r="C3" s="3" t="s">
        <v>64</v>
      </c>
      <c r="D3" s="3">
        <v>2</v>
      </c>
      <c r="E3" s="3" t="s">
        <v>65</v>
      </c>
      <c r="F3" s="3">
        <v>20</v>
      </c>
      <c r="G3" s="2">
        <f t="shared" ref="G3:G8" si="0">F3*50</f>
        <v>1000</v>
      </c>
      <c r="H3" s="3" t="s">
        <v>66</v>
      </c>
    </row>
    <row r="4" spans="1:8" ht="24" customHeight="1" x14ac:dyDescent="0.35">
      <c r="A4" s="2" t="s">
        <v>67</v>
      </c>
      <c r="B4" s="2" t="s">
        <v>68</v>
      </c>
      <c r="C4" s="2" t="s">
        <v>69</v>
      </c>
      <c r="D4" s="2">
        <v>2</v>
      </c>
      <c r="E4" s="2" t="s">
        <v>65</v>
      </c>
      <c r="F4" s="2">
        <v>22</v>
      </c>
      <c r="G4" s="2">
        <f t="shared" si="0"/>
        <v>1100</v>
      </c>
      <c r="H4" s="2" t="s">
        <v>70</v>
      </c>
    </row>
    <row r="5" spans="1:8" ht="24" customHeight="1" x14ac:dyDescent="0.35">
      <c r="A5" s="3" t="s">
        <v>71</v>
      </c>
      <c r="B5" s="3" t="s">
        <v>72</v>
      </c>
      <c r="C5" s="3" t="s">
        <v>73</v>
      </c>
      <c r="D5" s="3">
        <v>2</v>
      </c>
      <c r="E5" s="3" t="s">
        <v>74</v>
      </c>
      <c r="F5" s="3">
        <v>25</v>
      </c>
      <c r="G5" s="2">
        <f t="shared" si="0"/>
        <v>1250</v>
      </c>
      <c r="H5" s="3" t="s">
        <v>75</v>
      </c>
    </row>
    <row r="6" spans="1:8" ht="24" customHeight="1" x14ac:dyDescent="0.35">
      <c r="A6" s="2" t="s">
        <v>76</v>
      </c>
      <c r="B6" s="2" t="s">
        <v>77</v>
      </c>
      <c r="C6" s="2" t="s">
        <v>78</v>
      </c>
      <c r="D6" s="2">
        <v>2</v>
      </c>
      <c r="E6" s="2" t="s">
        <v>74</v>
      </c>
      <c r="F6" s="2">
        <v>30</v>
      </c>
      <c r="G6" s="2">
        <f t="shared" si="0"/>
        <v>1500</v>
      </c>
      <c r="H6" s="2" t="s">
        <v>79</v>
      </c>
    </row>
    <row r="7" spans="1:8" ht="24" customHeight="1" x14ac:dyDescent="0.35">
      <c r="A7" s="3" t="s">
        <v>80</v>
      </c>
      <c r="B7" s="3" t="s">
        <v>81</v>
      </c>
      <c r="C7" s="3" t="s">
        <v>82</v>
      </c>
      <c r="D7" s="3">
        <v>3</v>
      </c>
      <c r="E7" s="3" t="s">
        <v>83</v>
      </c>
      <c r="F7" s="3">
        <v>30</v>
      </c>
      <c r="G7" s="2">
        <f t="shared" si="0"/>
        <v>1500</v>
      </c>
      <c r="H7" s="3" t="s">
        <v>84</v>
      </c>
    </row>
    <row r="8" spans="1:8" ht="24" customHeight="1" x14ac:dyDescent="0.35">
      <c r="A8" s="2" t="s">
        <v>85</v>
      </c>
      <c r="B8" s="2" t="s">
        <v>86</v>
      </c>
      <c r="C8" s="2" t="s">
        <v>87</v>
      </c>
      <c r="D8" s="2">
        <v>4</v>
      </c>
      <c r="E8" s="2" t="s">
        <v>88</v>
      </c>
      <c r="F8" s="2">
        <v>35</v>
      </c>
      <c r="G8" s="2">
        <f t="shared" si="0"/>
        <v>1750</v>
      </c>
      <c r="H8" s="2" t="s">
        <v>89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rightToLeft="1" workbookViewId="0">
      <selection activeCell="D2" sqref="D2"/>
    </sheetView>
  </sheetViews>
  <sheetFormatPr defaultRowHeight="14.5" x14ac:dyDescent="0.35"/>
  <cols>
    <col min="1" max="1" width="24" customWidth="1"/>
    <col min="2" max="2" width="20" customWidth="1"/>
    <col min="3" max="3" width="28" customWidth="1"/>
    <col min="4" max="4" width="35" customWidth="1"/>
    <col min="5" max="5" width="22" customWidth="1"/>
    <col min="6" max="6" width="35" customWidth="1"/>
  </cols>
  <sheetData>
    <row r="1" spans="1:6" ht="30" customHeight="1" x14ac:dyDescent="0.3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ht="24" customHeight="1" x14ac:dyDescent="0.35">
      <c r="A2" s="2" t="s">
        <v>96</v>
      </c>
      <c r="B2" s="2" t="s">
        <v>97</v>
      </c>
      <c r="C2" s="2" t="s">
        <v>62</v>
      </c>
      <c r="D2" s="2" t="s">
        <v>181</v>
      </c>
      <c r="E2" s="2" t="s">
        <v>98</v>
      </c>
      <c r="F2" s="2" t="s">
        <v>99</v>
      </c>
    </row>
    <row r="3" spans="1:6" ht="24" customHeight="1" x14ac:dyDescent="0.35">
      <c r="A3" s="3" t="s">
        <v>100</v>
      </c>
      <c r="B3" s="3" t="s">
        <v>97</v>
      </c>
      <c r="C3" s="3" t="s">
        <v>71</v>
      </c>
      <c r="D3" s="3" t="s">
        <v>101</v>
      </c>
      <c r="E3" s="3" t="s">
        <v>98</v>
      </c>
      <c r="F3" s="3" t="s">
        <v>102</v>
      </c>
    </row>
    <row r="4" spans="1:6" ht="24" customHeight="1" x14ac:dyDescent="0.35">
      <c r="A4" s="2" t="s">
        <v>103</v>
      </c>
      <c r="B4" s="2" t="s">
        <v>97</v>
      </c>
      <c r="C4" s="2" t="s">
        <v>85</v>
      </c>
      <c r="D4" s="2" t="s">
        <v>104</v>
      </c>
      <c r="E4" s="2" t="s">
        <v>98</v>
      </c>
      <c r="F4" s="2" t="s">
        <v>105</v>
      </c>
    </row>
    <row r="5" spans="1:6" ht="24" customHeight="1" x14ac:dyDescent="0.35">
      <c r="A5" s="3" t="s">
        <v>106</v>
      </c>
      <c r="B5" s="3" t="s">
        <v>97</v>
      </c>
      <c r="C5" s="3" t="s">
        <v>71</v>
      </c>
      <c r="D5" s="3" t="s">
        <v>182</v>
      </c>
      <c r="E5" s="3" t="s">
        <v>98</v>
      </c>
      <c r="F5" s="3" t="s">
        <v>183</v>
      </c>
    </row>
    <row r="6" spans="1:6" ht="24" customHeight="1" x14ac:dyDescent="0.35">
      <c r="A6" s="2" t="s">
        <v>107</v>
      </c>
      <c r="B6" s="2" t="s">
        <v>108</v>
      </c>
      <c r="C6" s="2" t="s">
        <v>57</v>
      </c>
      <c r="D6" s="2" t="s">
        <v>109</v>
      </c>
      <c r="E6" s="2" t="s">
        <v>98</v>
      </c>
      <c r="F6" s="2" t="s">
        <v>110</v>
      </c>
    </row>
    <row r="7" spans="1:6" ht="24" customHeight="1" x14ac:dyDescent="0.35">
      <c r="A7" s="3" t="s">
        <v>111</v>
      </c>
      <c r="B7" s="3" t="s">
        <v>108</v>
      </c>
      <c r="C7" s="3" t="s">
        <v>67</v>
      </c>
      <c r="D7" s="3" t="s">
        <v>109</v>
      </c>
      <c r="E7" s="3" t="s">
        <v>98</v>
      </c>
      <c r="F7" s="3" t="s">
        <v>110</v>
      </c>
    </row>
    <row r="8" spans="1:6" ht="24" customHeight="1" x14ac:dyDescent="0.35">
      <c r="A8" s="2" t="s">
        <v>112</v>
      </c>
      <c r="B8" s="2" t="s">
        <v>108</v>
      </c>
      <c r="C8" s="2" t="s">
        <v>62</v>
      </c>
      <c r="D8" s="2" t="s">
        <v>113</v>
      </c>
      <c r="E8" s="2" t="s">
        <v>98</v>
      </c>
      <c r="F8" s="2" t="s">
        <v>99</v>
      </c>
    </row>
    <row r="9" spans="1:6" ht="24" customHeight="1" x14ac:dyDescent="0.35">
      <c r="A9" s="3" t="s">
        <v>114</v>
      </c>
      <c r="B9" s="3" t="s">
        <v>108</v>
      </c>
      <c r="C9" s="3" t="s">
        <v>71</v>
      </c>
      <c r="D9" s="3" t="s">
        <v>101</v>
      </c>
      <c r="E9" s="3" t="s">
        <v>98</v>
      </c>
      <c r="F9" s="3" t="s">
        <v>115</v>
      </c>
    </row>
    <row r="10" spans="1:6" ht="24" customHeight="1" x14ac:dyDescent="0.35">
      <c r="A10" s="2" t="s">
        <v>116</v>
      </c>
      <c r="B10" s="2" t="s">
        <v>108</v>
      </c>
      <c r="C10" s="2" t="s">
        <v>62</v>
      </c>
      <c r="D10" s="2" t="s">
        <v>113</v>
      </c>
      <c r="E10" s="2" t="s">
        <v>98</v>
      </c>
      <c r="F10" s="2" t="s">
        <v>99</v>
      </c>
    </row>
    <row r="11" spans="1:6" ht="24" customHeight="1" x14ac:dyDescent="0.35">
      <c r="A11" s="3" t="s">
        <v>117</v>
      </c>
      <c r="B11" s="3" t="s">
        <v>108</v>
      </c>
      <c r="C11" s="3" t="s">
        <v>80</v>
      </c>
      <c r="D11" s="3" t="s">
        <v>118</v>
      </c>
      <c r="E11" s="3" t="s">
        <v>98</v>
      </c>
      <c r="F11" s="3" t="s">
        <v>119</v>
      </c>
    </row>
    <row r="12" spans="1:6" ht="24" customHeight="1" x14ac:dyDescent="0.35">
      <c r="A12" s="2" t="s">
        <v>120</v>
      </c>
      <c r="B12" s="2" t="s">
        <v>108</v>
      </c>
      <c r="C12" s="2" t="s">
        <v>62</v>
      </c>
      <c r="D12" s="2" t="s">
        <v>184</v>
      </c>
      <c r="E12" s="2" t="s">
        <v>98</v>
      </c>
      <c r="F12" s="2" t="s">
        <v>99</v>
      </c>
    </row>
    <row r="13" spans="1:6" ht="24" customHeight="1" x14ac:dyDescent="0.35">
      <c r="A13" s="3" t="s">
        <v>121</v>
      </c>
      <c r="B13" s="3" t="s">
        <v>122</v>
      </c>
      <c r="C13" s="3" t="s">
        <v>57</v>
      </c>
      <c r="D13" s="3" t="s">
        <v>109</v>
      </c>
      <c r="E13" s="3" t="s">
        <v>98</v>
      </c>
      <c r="F13" s="3" t="s">
        <v>110</v>
      </c>
    </row>
    <row r="14" spans="1:6" ht="24" customHeight="1" x14ac:dyDescent="0.35">
      <c r="A14" s="2" t="s">
        <v>123</v>
      </c>
      <c r="B14" s="2" t="s">
        <v>122</v>
      </c>
      <c r="C14" s="2" t="s">
        <v>67</v>
      </c>
      <c r="D14" s="2" t="s">
        <v>109</v>
      </c>
      <c r="E14" s="2" t="s">
        <v>98</v>
      </c>
      <c r="F14" s="2" t="s">
        <v>110</v>
      </c>
    </row>
    <row r="15" spans="1:6" ht="24" customHeight="1" x14ac:dyDescent="0.35">
      <c r="A15" s="3" t="s">
        <v>124</v>
      </c>
      <c r="B15" s="3" t="s">
        <v>122</v>
      </c>
      <c r="C15" s="3" t="s">
        <v>71</v>
      </c>
      <c r="D15" s="3" t="s">
        <v>125</v>
      </c>
      <c r="E15" s="3" t="s">
        <v>98</v>
      </c>
      <c r="F15" s="3" t="s">
        <v>99</v>
      </c>
    </row>
    <row r="16" spans="1:6" ht="24" customHeight="1" x14ac:dyDescent="0.35">
      <c r="A16" s="2" t="s">
        <v>126</v>
      </c>
      <c r="B16" s="2" t="s">
        <v>122</v>
      </c>
      <c r="C16" s="2" t="s">
        <v>71</v>
      </c>
      <c r="D16" s="2" t="s">
        <v>125</v>
      </c>
      <c r="E16" s="2" t="s">
        <v>98</v>
      </c>
      <c r="F16" s="2" t="s">
        <v>99</v>
      </c>
    </row>
    <row r="17" spans="1:6" ht="24" customHeight="1" x14ac:dyDescent="0.35">
      <c r="A17" s="3" t="s">
        <v>127</v>
      </c>
      <c r="B17" s="3" t="s">
        <v>122</v>
      </c>
      <c r="C17" s="3" t="s">
        <v>71</v>
      </c>
      <c r="D17" s="3" t="s">
        <v>128</v>
      </c>
      <c r="E17" s="3" t="s">
        <v>98</v>
      </c>
      <c r="F17" s="3" t="s">
        <v>99</v>
      </c>
    </row>
    <row r="18" spans="1:6" ht="24" customHeight="1" x14ac:dyDescent="0.35">
      <c r="A18" s="2" t="s">
        <v>129</v>
      </c>
      <c r="B18" s="2" t="s">
        <v>122</v>
      </c>
      <c r="C18" s="2" t="s">
        <v>76</v>
      </c>
      <c r="D18" s="2" t="s">
        <v>109</v>
      </c>
      <c r="E18" s="2" t="s">
        <v>98</v>
      </c>
      <c r="F18" s="2" t="s">
        <v>110</v>
      </c>
    </row>
    <row r="19" spans="1:6" ht="24" customHeight="1" x14ac:dyDescent="0.35">
      <c r="A19" s="3" t="s">
        <v>130</v>
      </c>
      <c r="B19" s="3" t="s">
        <v>122</v>
      </c>
      <c r="C19" s="3" t="s">
        <v>62</v>
      </c>
      <c r="D19" s="3" t="s">
        <v>184</v>
      </c>
      <c r="E19" s="3" t="s">
        <v>98</v>
      </c>
      <c r="F19" s="3" t="s">
        <v>99</v>
      </c>
    </row>
    <row r="20" spans="1:6" ht="24" customHeight="1" x14ac:dyDescent="0.35">
      <c r="A20" s="2" t="s">
        <v>131</v>
      </c>
      <c r="B20" s="2" t="s">
        <v>132</v>
      </c>
      <c r="C20" s="2" t="s">
        <v>57</v>
      </c>
      <c r="D20" s="2" t="s">
        <v>109</v>
      </c>
      <c r="E20" s="2" t="s">
        <v>98</v>
      </c>
      <c r="F20" s="2" t="s">
        <v>110</v>
      </c>
    </row>
    <row r="21" spans="1:6" ht="24" customHeight="1" x14ac:dyDescent="0.35">
      <c r="A21" s="3" t="s">
        <v>133</v>
      </c>
      <c r="B21" s="3" t="s">
        <v>132</v>
      </c>
      <c r="C21" s="3" t="s">
        <v>67</v>
      </c>
      <c r="D21" s="3" t="s">
        <v>109</v>
      </c>
      <c r="E21" s="3" t="s">
        <v>98</v>
      </c>
      <c r="F21" s="3" t="s">
        <v>110</v>
      </c>
    </row>
    <row r="22" spans="1:6" ht="24" customHeight="1" x14ac:dyDescent="0.35">
      <c r="A22" s="2" t="s">
        <v>134</v>
      </c>
      <c r="B22" s="2" t="s">
        <v>132</v>
      </c>
      <c r="C22" s="2" t="s">
        <v>71</v>
      </c>
      <c r="D22" s="2" t="s">
        <v>135</v>
      </c>
      <c r="E22" s="2" t="s">
        <v>98</v>
      </c>
      <c r="F22" s="2" t="s">
        <v>136</v>
      </c>
    </row>
    <row r="23" spans="1:6" ht="24" customHeight="1" x14ac:dyDescent="0.35">
      <c r="A23" s="3" t="s">
        <v>137</v>
      </c>
      <c r="B23" s="3" t="s">
        <v>132</v>
      </c>
      <c r="C23" s="3" t="s">
        <v>71</v>
      </c>
      <c r="D23" s="3" t="s">
        <v>135</v>
      </c>
      <c r="E23" s="3" t="s">
        <v>98</v>
      </c>
      <c r="F23" s="3" t="s">
        <v>136</v>
      </c>
    </row>
    <row r="24" spans="1:6" ht="24" customHeight="1" x14ac:dyDescent="0.35">
      <c r="A24" s="2" t="s">
        <v>138</v>
      </c>
      <c r="B24" s="2" t="s">
        <v>132</v>
      </c>
      <c r="C24" s="2" t="s">
        <v>62</v>
      </c>
      <c r="D24" s="2" t="s">
        <v>139</v>
      </c>
      <c r="E24" s="2" t="s">
        <v>98</v>
      </c>
      <c r="F24" s="2" t="s">
        <v>136</v>
      </c>
    </row>
    <row r="25" spans="1:6" ht="24" customHeight="1" x14ac:dyDescent="0.35">
      <c r="A25" s="3" t="s">
        <v>140</v>
      </c>
      <c r="B25" s="3" t="s">
        <v>132</v>
      </c>
      <c r="C25" s="3" t="s">
        <v>80</v>
      </c>
      <c r="D25" s="3" t="s">
        <v>141</v>
      </c>
      <c r="E25" s="3" t="s">
        <v>98</v>
      </c>
      <c r="F25" s="3" t="s">
        <v>119</v>
      </c>
    </row>
    <row r="26" spans="1:6" ht="24" customHeight="1" x14ac:dyDescent="0.35">
      <c r="A26" s="2" t="s">
        <v>142</v>
      </c>
      <c r="B26" s="2" t="s">
        <v>132</v>
      </c>
      <c r="C26" s="2" t="s">
        <v>62</v>
      </c>
      <c r="D26" s="2" t="s">
        <v>185</v>
      </c>
      <c r="E26" s="2" t="s">
        <v>98</v>
      </c>
      <c r="F26" s="2" t="s">
        <v>99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rightToLeft="1" workbookViewId="0"/>
  </sheetViews>
  <sheetFormatPr defaultRowHeight="14.5" x14ac:dyDescent="0.35"/>
  <cols>
    <col min="1" max="1" width="28" customWidth="1"/>
    <col min="2" max="3" width="30" customWidth="1"/>
    <col min="4" max="4" width="26" customWidth="1"/>
    <col min="5" max="5" width="24" customWidth="1"/>
    <col min="6" max="6" width="45" customWidth="1"/>
  </cols>
  <sheetData>
    <row r="1" spans="1:6" ht="30" customHeight="1" x14ac:dyDescent="0.3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spans="1:6" ht="24" customHeight="1" x14ac:dyDescent="0.35">
      <c r="A2" s="2" t="s">
        <v>149</v>
      </c>
      <c r="B2" s="2" t="s">
        <v>150</v>
      </c>
      <c r="C2" s="2" t="s">
        <v>151</v>
      </c>
      <c r="D2" s="2">
        <v>1.3</v>
      </c>
      <c r="E2" s="2" t="s">
        <v>152</v>
      </c>
      <c r="F2" s="2" t="s">
        <v>153</v>
      </c>
    </row>
    <row r="3" spans="1:6" ht="24" customHeight="1" x14ac:dyDescent="0.35">
      <c r="A3" s="3" t="s">
        <v>154</v>
      </c>
      <c r="B3" s="3" t="s">
        <v>155</v>
      </c>
      <c r="C3" s="3" t="s">
        <v>156</v>
      </c>
      <c r="D3" s="3">
        <v>1.5</v>
      </c>
      <c r="E3" s="3" t="s">
        <v>157</v>
      </c>
      <c r="F3" s="3" t="s">
        <v>158</v>
      </c>
    </row>
    <row r="4" spans="1:6" ht="24" customHeight="1" x14ac:dyDescent="0.35">
      <c r="A4" s="2" t="s">
        <v>159</v>
      </c>
      <c r="B4" s="2" t="s">
        <v>160</v>
      </c>
      <c r="C4" s="2" t="s">
        <v>161</v>
      </c>
      <c r="D4" s="2">
        <v>1</v>
      </c>
      <c r="E4" s="2" t="s">
        <v>162</v>
      </c>
      <c r="F4" s="2" t="s">
        <v>163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rightToLeft="1" workbookViewId="0">
      <selection activeCell="E3" sqref="E3"/>
    </sheetView>
  </sheetViews>
  <sheetFormatPr defaultRowHeight="14.5" x14ac:dyDescent="0.35"/>
  <cols>
    <col min="1" max="1" width="28" customWidth="1"/>
    <col min="2" max="3" width="20" customWidth="1"/>
    <col min="4" max="5" width="24" customWidth="1"/>
    <col min="6" max="6" width="45" customWidth="1"/>
  </cols>
  <sheetData>
    <row r="1" spans="1:6" ht="30" customHeight="1" x14ac:dyDescent="0.3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</row>
    <row r="2" spans="1:6" ht="24" customHeight="1" x14ac:dyDescent="0.35">
      <c r="A2" s="2" t="s">
        <v>170</v>
      </c>
      <c r="B2" s="2">
        <v>0</v>
      </c>
      <c r="C2" s="2">
        <v>35</v>
      </c>
      <c r="D2" s="6">
        <v>-0.1</v>
      </c>
      <c r="E2" s="2">
        <v>0.9</v>
      </c>
      <c r="F2" s="2" t="s">
        <v>171</v>
      </c>
    </row>
    <row r="3" spans="1:6" ht="24" customHeight="1" x14ac:dyDescent="0.35">
      <c r="A3" s="3" t="s">
        <v>172</v>
      </c>
      <c r="B3" s="3">
        <v>36</v>
      </c>
      <c r="C3" s="3">
        <v>65</v>
      </c>
      <c r="D3" s="3" t="s">
        <v>173</v>
      </c>
      <c r="E3" s="3">
        <v>1.1499999999999999</v>
      </c>
      <c r="F3" s="3" t="s">
        <v>174</v>
      </c>
    </row>
    <row r="4" spans="1:6" ht="24" customHeight="1" x14ac:dyDescent="0.35">
      <c r="A4" s="2" t="s">
        <v>175</v>
      </c>
      <c r="B4" s="2">
        <v>66</v>
      </c>
      <c r="C4" s="2">
        <v>85</v>
      </c>
      <c r="D4" s="2" t="s">
        <v>152</v>
      </c>
      <c r="E4" s="2">
        <v>1.3</v>
      </c>
      <c r="F4" s="2" t="s">
        <v>176</v>
      </c>
    </row>
    <row r="5" spans="1:6" ht="24" customHeight="1" x14ac:dyDescent="0.35">
      <c r="A5" s="3" t="s">
        <v>177</v>
      </c>
      <c r="B5" s="3">
        <v>86</v>
      </c>
      <c r="C5" s="3">
        <v>100</v>
      </c>
      <c r="D5" s="3" t="s">
        <v>157</v>
      </c>
      <c r="E5" s="3">
        <v>1.5</v>
      </c>
      <c r="F5" s="3" t="s">
        <v>178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01_Hotel_Profile</vt:lpstr>
      <vt:lpstr>02_Room_Categories</vt:lpstr>
      <vt:lpstr>03_Rooms_Inventory</vt:lpstr>
      <vt:lpstr>04_Seasons_Setup</vt:lpstr>
      <vt:lpstr>05_Occupancy_Rules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2026-09-08T21:00:00Z</dcterms:created>
  <dcterms:modified xsi:type="dcterms:W3CDTF">2026-09-09T11:15:24Z</dcterms:modified>
  <cp:category/>
</cp:coreProperties>
</file>