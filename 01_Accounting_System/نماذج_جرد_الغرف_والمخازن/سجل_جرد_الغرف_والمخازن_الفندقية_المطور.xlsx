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جرد الغرف (علامة صح)" state="visible" r:id="rId4"/>
    <sheet sheetId="2" name="جرد وتجميع المخازن" state="visible" r:id="rId5"/>
  </sheets>
  <calcPr calcId="171027"/>
</workbook>
</file>

<file path=xl/sharedStrings.xml><?xml version="1.0" encoding="utf-8"?>
<sst xmlns="http://schemas.openxmlformats.org/spreadsheetml/2006/main" count="1248" uniqueCount="137">
  <si>
    <t>🏨 فندق هينو الأهرامات — كشف ورسومات جرد مشتملات وأثاث الغرف الـ 25 (جدول خانات الصح والتجميع)</t>
  </si>
  <si>
    <t>تعليمات للجرد: يضع عامل/مشرفة الإشراف الداخلي علامة صح (✓) أمام كل صنف موجود وسليم بالغرفة ، وفي نهاية الجدول يتم حساب الإجمالي التلقائي.</t>
  </si>
  <si>
    <t>رقم الغرفة</t>
  </si>
  <si>
    <t>الدور / الطابق</t>
  </si>
  <si>
    <t>نوع الغرفة</t>
  </si>
  <si>
    <t>سرير كينج 180×200</t>
  </si>
  <si>
    <t>سرير سينجل 120×200</t>
  </si>
  <si>
    <t>مرتبة كينج 180×200</t>
  </si>
  <si>
    <t>مرتبة سينجل 120×200</t>
  </si>
  <si>
    <t>واقي مرتبة ضد الماء</t>
  </si>
  <si>
    <t>ملاية سرير كبير</t>
  </si>
  <si>
    <t>ملاية سرير صغير</t>
  </si>
  <si>
    <t>كيس مخدة فندقي</t>
  </si>
  <si>
    <t>مخدة فندقية ناعمة</t>
  </si>
  <si>
    <t>لحاف فندقي / كوفرتة</t>
  </si>
  <si>
    <t>شاشة سمارت 32 بوصة</t>
  </si>
  <si>
    <t>رسيفر وقنوات فضائية</t>
  </si>
  <si>
    <t>ريموت شاشة + رسيفر</t>
  </si>
  <si>
    <t>تكييف 1.5/2.25 حصان</t>
  </si>
  <si>
    <t>ريموت تكييف</t>
  </si>
  <si>
    <t>ثلاجة ميني بار 4.5 قدم</t>
  </si>
  <si>
    <t>غلاية مياه كهربائية</t>
  </si>
  <si>
    <t>طقم أكواب وكوفيشوب</t>
  </si>
  <si>
    <t>دولاب ملابس + 10 شماعات</t>
  </si>
  <si>
    <t>تسريحة / مكتب + كرسي</t>
  </si>
  <si>
    <t>كمودينو + أبجورة إضاءة</t>
  </si>
  <si>
    <t>مرآة فندقية تكبير</t>
  </si>
  <si>
    <t>ستائر بلاك آوت (Blackout)</t>
  </si>
  <si>
    <t>استشوار شعر (Hair Dryer)</t>
  </si>
  <si>
    <t>بشكير حمام كبير</t>
  </si>
  <si>
    <t>فوطة وجه ويدين</t>
  </si>
  <si>
    <t>مشاية حمام قطن</t>
  </si>
  <si>
    <t>سلة مهملات بالبدال</t>
  </si>
  <si>
    <t>ستارة دش حمام</t>
  </si>
  <si>
    <t>خزينة إلكترونية Safe Box</t>
  </si>
  <si>
    <t>حامل أمتعة خشبي</t>
  </si>
  <si>
    <t>لوحة فرعونية / ديكور</t>
  </si>
  <si>
    <t>صنف إضافي 1 (فارغ)</t>
  </si>
  <si>
    <t>صنف إضافي 2 (فارغ)</t>
  </si>
  <si>
    <t>صنف إضافي 3 (فارغ)</t>
  </si>
  <si>
    <t>صنف إضافي 4 (فارغ)</t>
  </si>
  <si>
    <t>صنف إضافي 5 (فارغ)</t>
  </si>
  <si>
    <t>إجمالي الأصناف الفعلية (✓)</t>
  </si>
  <si>
    <t>نسبة الاكتمال %</t>
  </si>
  <si>
    <t>ملاحظات الإشراف</t>
  </si>
  <si>
    <t>101</t>
  </si>
  <si>
    <t>الأول</t>
  </si>
  <si>
    <t>مزدوجة</t>
  </si>
  <si>
    <t>✓</t>
  </si>
  <si>
    <t/>
  </si>
  <si>
    <t>جاهزة للتسكين</t>
  </si>
  <si>
    <t>102</t>
  </si>
  <si>
    <t>ثلاثية</t>
  </si>
  <si>
    <t>103</t>
  </si>
  <si>
    <t>مفردة</t>
  </si>
  <si>
    <t>104</t>
  </si>
  <si>
    <t>105</t>
  </si>
  <si>
    <t>106</t>
  </si>
  <si>
    <t>201</t>
  </si>
  <si>
    <t>الثاني</t>
  </si>
  <si>
    <t>ديلوكس أهرامات</t>
  </si>
  <si>
    <t>202</t>
  </si>
  <si>
    <t>203</t>
  </si>
  <si>
    <t>204</t>
  </si>
  <si>
    <t>205</t>
  </si>
  <si>
    <t>ثلاثية عائلية</t>
  </si>
  <si>
    <t>206</t>
  </si>
  <si>
    <t>207</t>
  </si>
  <si>
    <t>301</t>
  </si>
  <si>
    <t>الثالث</t>
  </si>
  <si>
    <t>جناح أهرامات</t>
  </si>
  <si>
    <t>302</t>
  </si>
  <si>
    <t>303</t>
  </si>
  <si>
    <t>304</t>
  </si>
  <si>
    <t>305</t>
  </si>
  <si>
    <t>306</t>
  </si>
  <si>
    <t>401</t>
  </si>
  <si>
    <t>الروف</t>
  </si>
  <si>
    <t>جناح الروف الملكي</t>
  </si>
  <si>
    <t>402</t>
  </si>
  <si>
    <t>روف أهرامات</t>
  </si>
  <si>
    <t>403</t>
  </si>
  <si>
    <t>404</t>
  </si>
  <si>
    <t>ثلاثية روف</t>
  </si>
  <si>
    <t>405</t>
  </si>
  <si>
    <t>مفردة روف</t>
  </si>
  <si>
    <t>406</t>
  </si>
  <si>
    <t>مزدوجة روف</t>
  </si>
  <si>
    <t>إجمالي التجميع الفندقي</t>
  </si>
  <si>
    <t>25 غرفة</t>
  </si>
  <si>
    <t>الموجود الإجمالي</t>
  </si>
  <si>
    <t>التقرير النهائي</t>
  </si>
  <si>
    <t>📦 فندق هينو الأهرامات — سجل جرد ورصيد المخازن العمودي والشامل (Store Inventory Matrix)</t>
  </si>
  <si>
    <t>كود الصنف</t>
  </si>
  <si>
    <t>اسم الصنف الفندقي</t>
  </si>
  <si>
    <t>المخزن التابع له</t>
  </si>
  <si>
    <t>وحدة القياس</t>
  </si>
  <si>
    <t>شامبو فندقي 30 مل</t>
  </si>
  <si>
    <t>شاور جيل 30 مل</t>
  </si>
  <si>
    <t>صابون معطر 20 جم</t>
  </si>
  <si>
    <t>أطقم شاي وقهوة</t>
  </si>
  <si>
    <t>سكر وظروف كوفيشوب</t>
  </si>
  <si>
    <t>لمبات ليد 9 واط</t>
  </si>
  <si>
    <t>بطاريات ريموت تكييف</t>
  </si>
  <si>
    <t>أقفال أبواب ومفصلات</t>
  </si>
  <si>
    <t>أكواب وزجاجات مياه</t>
  </si>
  <si>
    <t>أكياس قمامة بالبدال</t>
  </si>
  <si>
    <t>مطهرات ومعطرات جو</t>
  </si>
  <si>
    <t>صنف مخزن 1 (فارغ)</t>
  </si>
  <si>
    <t>صنف مخزن 2 (فارغ)</t>
  </si>
  <si>
    <t>صنف مخزن 3 (فارغ)</t>
  </si>
  <si>
    <t>صنف مخزن 4 (فارغ)</t>
  </si>
  <si>
    <t>صنف مخزن 5 (فارغ)</t>
  </si>
  <si>
    <t>الرصيد الفعلي الحالي</t>
  </si>
  <si>
    <t>حد الأمان (Par Level)</t>
  </si>
  <si>
    <t>حالة التوريد والطلب</t>
  </si>
  <si>
    <t>سعر الوحدة التقديري</t>
  </si>
  <si>
    <t>إجمالي قيمة المخزون</t>
  </si>
  <si>
    <t>ملاحظات وتوجيهات الشراء</t>
  </si>
  <si>
    <t>LIN-01</t>
  </si>
  <si>
    <t>ملايات وسراير كبير وصغير</t>
  </si>
  <si>
    <t>مخزن المفروشات والكتانيات</t>
  </si>
  <si>
    <t>طقم</t>
  </si>
  <si>
    <t>مكتمل الجرد</t>
  </si>
  <si>
    <t>LIN-02</t>
  </si>
  <si>
    <t>بشاكير وفوط ومشايات حمام</t>
  </si>
  <si>
    <t>قطعة</t>
  </si>
  <si>
    <t>AMN-01</t>
  </si>
  <si>
    <t>شامبو وشاور صابون ضيافة</t>
  </si>
  <si>
    <t>مخزن الضيافة والـ Amenities</t>
  </si>
  <si>
    <t>كرتونة</t>
  </si>
  <si>
    <t>AMN-02</t>
  </si>
  <si>
    <t>أطقم كوفيشوب وسكر ومياه</t>
  </si>
  <si>
    <t>MNT-01</t>
  </si>
  <si>
    <t>قطع غيار كهرباء ولمبات وبطاريات</t>
  </si>
  <si>
    <t>مخزن الصيانة والخدمات</t>
  </si>
  <si>
    <t>علبة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</si>
</sst>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&quot;%&quot;"/>
    <numFmt numFmtId="165" formatCode="#,##0&quot; جـ&quot;"/>
  </numFmts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1F4E78"/>
      <sz val="9.5"/>
      <name val="Arial"/>
    </font>
    <font>
      <b/>
      <color rgb="FFFFFFFF"/>
      <sz val="9"/>
      <name val="Arial"/>
    </font>
    <font>
      <sz val="9"/>
      <name val="Arial"/>
    </font>
    <font>
      <b/>
      <color rgb="FF276749"/>
      <sz val="10"/>
      <name val="Arial"/>
    </font>
    <font>
      <b/>
      <color rgb="FF276749"/>
      <sz val="9.5"/>
      <name val="Arial"/>
    </font>
    <font>
      <b/>
      <color rgb="FF1F4E78"/>
      <sz val="9"/>
      <name val="Arial"/>
    </font>
    <font>
      <b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2F4F8"/>
      </patternFill>
    </fill>
    <fill>
      <patternFill patternType="solid">
        <fgColor rgb="FF2F5597"/>
      </patternFill>
    </fill>
    <fill>
      <patternFill patternType="solid">
        <fgColor rgb="F9FAFB"/>
      </patternFill>
    </fill>
    <fill>
      <patternFill patternType="solid">
        <fgColor rgb="EBF8FF"/>
      </patternFill>
    </fill>
    <fill>
      <patternFill patternType="solid">
        <fgColor rgb="FFFFFF"/>
      </patternFill>
    </fill>
    <fill>
      <patternFill patternType="solid">
        <fgColor rgb="D9E1F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/>
      <right style="thin"/>
      <top style="double">
        <color rgb="1F4E78"/>
      </top>
      <bottom style="double">
        <color rgb="1F4E7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bottom" textRotation="90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right" vertical="center"/>
    </xf>
    <xf numFmtId="0" fontId="8" fillId="7" borderId="2" xfId="0" applyFont="1" applyFill="1" applyBorder="1" applyAlignment="1">
      <alignment horizontal="center" vertical="center"/>
    </xf>
    <xf numFmtId="165" fontId="4" fillId="7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30"/>
  <sheetViews>
    <sheetView workbookViewId="0" rightToLeft="1"/>
  </sheetViews>
  <sheetFormatPr defaultRowHeight="15" outlineLevelRow="0" outlineLevelCol="0" x14ac:dyDescent="55"/>
  <cols>
    <col min="2" max="2" width="10" customWidth="1"/>
    <col min="3" max="3" width="18" customWidth="1"/>
    <col min="4" max="40" width="5.2" customWidth="1"/>
    <col min="41" max="41" width="12" customWidth="1"/>
    <col min="42" max="42" width="10" customWidth="1"/>
    <col min="43" max="43" width="16" customWidth="1"/>
  </cols>
  <sheetData>
    <row r="1" ht="30" customHeight="1" spans="1:4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ht="22" customHeight="1" spans="1:4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4" ht="140" customHeight="1" spans="1:4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</row>
    <row r="5" ht="20" customHeight="1" spans="1:43" x14ac:dyDescent="0.25">
      <c r="A5" s="4" t="s">
        <v>45</v>
      </c>
      <c r="B5" s="4" t="s">
        <v>46</v>
      </c>
      <c r="C5" s="4" t="s">
        <v>47</v>
      </c>
      <c r="D5" s="5" t="s">
        <v>48</v>
      </c>
      <c r="E5" s="5" t="s">
        <v>48</v>
      </c>
      <c r="F5" s="5" t="s">
        <v>48</v>
      </c>
      <c r="G5" s="5" t="s">
        <v>48</v>
      </c>
      <c r="H5" s="5" t="s">
        <v>48</v>
      </c>
      <c r="I5" s="5" t="s">
        <v>48</v>
      </c>
      <c r="J5" s="5" t="s">
        <v>48</v>
      </c>
      <c r="K5" s="5" t="s">
        <v>48</v>
      </c>
      <c r="L5" s="5" t="s">
        <v>48</v>
      </c>
      <c r="M5" s="5" t="s">
        <v>48</v>
      </c>
      <c r="N5" s="5" t="s">
        <v>48</v>
      </c>
      <c r="O5" s="5" t="s">
        <v>48</v>
      </c>
      <c r="P5" s="5" t="s">
        <v>48</v>
      </c>
      <c r="Q5" s="5" t="s">
        <v>48</v>
      </c>
      <c r="R5" s="5" t="s">
        <v>48</v>
      </c>
      <c r="S5" s="5" t="s">
        <v>48</v>
      </c>
      <c r="T5" s="5" t="s">
        <v>48</v>
      </c>
      <c r="U5" s="5" t="s">
        <v>48</v>
      </c>
      <c r="V5" s="5" t="s">
        <v>48</v>
      </c>
      <c r="W5" s="5" t="s">
        <v>48</v>
      </c>
      <c r="X5" s="5" t="s">
        <v>48</v>
      </c>
      <c r="Y5" s="5" t="s">
        <v>48</v>
      </c>
      <c r="Z5" s="5" t="s">
        <v>48</v>
      </c>
      <c r="AA5" s="5" t="s">
        <v>48</v>
      </c>
      <c r="AB5" s="5" t="s">
        <v>48</v>
      </c>
      <c r="AC5" s="5" t="s">
        <v>48</v>
      </c>
      <c r="AD5" s="5" t="s">
        <v>48</v>
      </c>
      <c r="AE5" s="5" t="s">
        <v>48</v>
      </c>
      <c r="AF5" s="5" t="s">
        <v>48</v>
      </c>
      <c r="AG5" s="5" t="s">
        <v>48</v>
      </c>
      <c r="AH5" s="5" t="s">
        <v>48</v>
      </c>
      <c r="AI5" s="5" t="s">
        <v>48</v>
      </c>
      <c r="AJ5" s="4" t="s">
        <v>49</v>
      </c>
      <c r="AK5" s="4" t="s">
        <v>49</v>
      </c>
      <c r="AL5" s="4" t="s">
        <v>49</v>
      </c>
      <c r="AM5" s="4" t="s">
        <v>49</v>
      </c>
      <c r="AN5" s="4" t="s">
        <v>49</v>
      </c>
      <c r="AO5" s="6">
        <f>COUNTA(D5:AN5)</f>
      </c>
      <c r="AP5" s="7">
        <f>ROUND((AO5/32)*100, 0)</f>
      </c>
      <c r="AQ5" s="4" t="s">
        <v>50</v>
      </c>
    </row>
    <row r="6" ht="20" customHeight="1" spans="1:43" x14ac:dyDescent="0.25">
      <c r="A6" s="8" t="s">
        <v>51</v>
      </c>
      <c r="B6" s="8" t="s">
        <v>46</v>
      </c>
      <c r="C6" s="8" t="s">
        <v>52</v>
      </c>
      <c r="D6" s="9" t="s">
        <v>48</v>
      </c>
      <c r="E6" s="9" t="s">
        <v>48</v>
      </c>
      <c r="F6" s="9" t="s">
        <v>48</v>
      </c>
      <c r="G6" s="9" t="s">
        <v>48</v>
      </c>
      <c r="H6" s="9" t="s">
        <v>48</v>
      </c>
      <c r="I6" s="9" t="s">
        <v>48</v>
      </c>
      <c r="J6" s="9" t="s">
        <v>48</v>
      </c>
      <c r="K6" s="9" t="s">
        <v>48</v>
      </c>
      <c r="L6" s="9" t="s">
        <v>48</v>
      </c>
      <c r="M6" s="9" t="s">
        <v>48</v>
      </c>
      <c r="N6" s="9" t="s">
        <v>48</v>
      </c>
      <c r="O6" s="9" t="s">
        <v>48</v>
      </c>
      <c r="P6" s="9" t="s">
        <v>48</v>
      </c>
      <c r="Q6" s="9" t="s">
        <v>48</v>
      </c>
      <c r="R6" s="9" t="s">
        <v>48</v>
      </c>
      <c r="S6" s="9" t="s">
        <v>48</v>
      </c>
      <c r="T6" s="9" t="s">
        <v>48</v>
      </c>
      <c r="U6" s="9" t="s">
        <v>48</v>
      </c>
      <c r="V6" s="9" t="s">
        <v>48</v>
      </c>
      <c r="W6" s="9" t="s">
        <v>48</v>
      </c>
      <c r="X6" s="9" t="s">
        <v>48</v>
      </c>
      <c r="Y6" s="9" t="s">
        <v>48</v>
      </c>
      <c r="Z6" s="9" t="s">
        <v>48</v>
      </c>
      <c r="AA6" s="9" t="s">
        <v>48</v>
      </c>
      <c r="AB6" s="9" t="s">
        <v>48</v>
      </c>
      <c r="AC6" s="9" t="s">
        <v>48</v>
      </c>
      <c r="AD6" s="9" t="s">
        <v>48</v>
      </c>
      <c r="AE6" s="9" t="s">
        <v>48</v>
      </c>
      <c r="AF6" s="9" t="s">
        <v>48</v>
      </c>
      <c r="AG6" s="9" t="s">
        <v>48</v>
      </c>
      <c r="AH6" s="9" t="s">
        <v>48</v>
      </c>
      <c r="AI6" s="9" t="s">
        <v>48</v>
      </c>
      <c r="AJ6" s="8" t="s">
        <v>49</v>
      </c>
      <c r="AK6" s="8" t="s">
        <v>49</v>
      </c>
      <c r="AL6" s="8" t="s">
        <v>49</v>
      </c>
      <c r="AM6" s="8" t="s">
        <v>49</v>
      </c>
      <c r="AN6" s="8" t="s">
        <v>49</v>
      </c>
      <c r="AO6" s="6">
        <f>COUNTA(D6:AN6)</f>
      </c>
      <c r="AP6" s="10">
        <f>ROUND((AO6/32)*100, 0)</f>
      </c>
      <c r="AQ6" s="8" t="s">
        <v>50</v>
      </c>
    </row>
    <row r="7" ht="20" customHeight="1" spans="1:43" x14ac:dyDescent="0.25">
      <c r="A7" s="4" t="s">
        <v>53</v>
      </c>
      <c r="B7" s="4" t="s">
        <v>46</v>
      </c>
      <c r="C7" s="4" t="s">
        <v>54</v>
      </c>
      <c r="D7" s="5" t="s">
        <v>48</v>
      </c>
      <c r="E7" s="5" t="s">
        <v>48</v>
      </c>
      <c r="F7" s="5" t="s">
        <v>48</v>
      </c>
      <c r="G7" s="5" t="s">
        <v>48</v>
      </c>
      <c r="H7" s="5" t="s">
        <v>48</v>
      </c>
      <c r="I7" s="5" t="s">
        <v>48</v>
      </c>
      <c r="J7" s="5" t="s">
        <v>48</v>
      </c>
      <c r="K7" s="5" t="s">
        <v>48</v>
      </c>
      <c r="L7" s="5" t="s">
        <v>48</v>
      </c>
      <c r="M7" s="5" t="s">
        <v>48</v>
      </c>
      <c r="N7" s="5" t="s">
        <v>48</v>
      </c>
      <c r="O7" s="5" t="s">
        <v>48</v>
      </c>
      <c r="P7" s="5" t="s">
        <v>48</v>
      </c>
      <c r="Q7" s="5" t="s">
        <v>48</v>
      </c>
      <c r="R7" s="5" t="s">
        <v>48</v>
      </c>
      <c r="S7" s="5" t="s">
        <v>48</v>
      </c>
      <c r="T7" s="5" t="s">
        <v>48</v>
      </c>
      <c r="U7" s="5" t="s">
        <v>48</v>
      </c>
      <c r="V7" s="5" t="s">
        <v>48</v>
      </c>
      <c r="W7" s="5" t="s">
        <v>48</v>
      </c>
      <c r="X7" s="5" t="s">
        <v>48</v>
      </c>
      <c r="Y7" s="5" t="s">
        <v>48</v>
      </c>
      <c r="Z7" s="5" t="s">
        <v>48</v>
      </c>
      <c r="AA7" s="5" t="s">
        <v>48</v>
      </c>
      <c r="AB7" s="5" t="s">
        <v>48</v>
      </c>
      <c r="AC7" s="5" t="s">
        <v>48</v>
      </c>
      <c r="AD7" s="5" t="s">
        <v>48</v>
      </c>
      <c r="AE7" s="5" t="s">
        <v>48</v>
      </c>
      <c r="AF7" s="5" t="s">
        <v>48</v>
      </c>
      <c r="AG7" s="5" t="s">
        <v>48</v>
      </c>
      <c r="AH7" s="5" t="s">
        <v>48</v>
      </c>
      <c r="AI7" s="5" t="s">
        <v>48</v>
      </c>
      <c r="AJ7" s="4" t="s">
        <v>49</v>
      </c>
      <c r="AK7" s="4" t="s">
        <v>49</v>
      </c>
      <c r="AL7" s="4" t="s">
        <v>49</v>
      </c>
      <c r="AM7" s="4" t="s">
        <v>49</v>
      </c>
      <c r="AN7" s="4" t="s">
        <v>49</v>
      </c>
      <c r="AO7" s="6">
        <f>COUNTA(D7:AN7)</f>
      </c>
      <c r="AP7" s="7">
        <f>ROUND((AO7/32)*100, 0)</f>
      </c>
      <c r="AQ7" s="4" t="s">
        <v>50</v>
      </c>
    </row>
    <row r="8" ht="20" customHeight="1" spans="1:43" x14ac:dyDescent="0.25">
      <c r="A8" s="8" t="s">
        <v>55</v>
      </c>
      <c r="B8" s="8" t="s">
        <v>46</v>
      </c>
      <c r="C8" s="8" t="s">
        <v>47</v>
      </c>
      <c r="D8" s="9" t="s">
        <v>48</v>
      </c>
      <c r="E8" s="9" t="s">
        <v>48</v>
      </c>
      <c r="F8" s="9" t="s">
        <v>48</v>
      </c>
      <c r="G8" s="9" t="s">
        <v>48</v>
      </c>
      <c r="H8" s="9" t="s">
        <v>48</v>
      </c>
      <c r="I8" s="9" t="s">
        <v>48</v>
      </c>
      <c r="J8" s="9" t="s">
        <v>48</v>
      </c>
      <c r="K8" s="9" t="s">
        <v>48</v>
      </c>
      <c r="L8" s="9" t="s">
        <v>48</v>
      </c>
      <c r="M8" s="9" t="s">
        <v>48</v>
      </c>
      <c r="N8" s="9" t="s">
        <v>48</v>
      </c>
      <c r="O8" s="9" t="s">
        <v>48</v>
      </c>
      <c r="P8" s="9" t="s">
        <v>48</v>
      </c>
      <c r="Q8" s="9" t="s">
        <v>48</v>
      </c>
      <c r="R8" s="9" t="s">
        <v>48</v>
      </c>
      <c r="S8" s="9" t="s">
        <v>48</v>
      </c>
      <c r="T8" s="9" t="s">
        <v>48</v>
      </c>
      <c r="U8" s="9" t="s">
        <v>48</v>
      </c>
      <c r="V8" s="9" t="s">
        <v>48</v>
      </c>
      <c r="W8" s="9" t="s">
        <v>48</v>
      </c>
      <c r="X8" s="9" t="s">
        <v>48</v>
      </c>
      <c r="Y8" s="9" t="s">
        <v>48</v>
      </c>
      <c r="Z8" s="9" t="s">
        <v>48</v>
      </c>
      <c r="AA8" s="9" t="s">
        <v>48</v>
      </c>
      <c r="AB8" s="9" t="s">
        <v>48</v>
      </c>
      <c r="AC8" s="9" t="s">
        <v>48</v>
      </c>
      <c r="AD8" s="9" t="s">
        <v>48</v>
      </c>
      <c r="AE8" s="9" t="s">
        <v>48</v>
      </c>
      <c r="AF8" s="9" t="s">
        <v>48</v>
      </c>
      <c r="AG8" s="9" t="s">
        <v>48</v>
      </c>
      <c r="AH8" s="9" t="s">
        <v>48</v>
      </c>
      <c r="AI8" s="9" t="s">
        <v>48</v>
      </c>
      <c r="AJ8" s="8" t="s">
        <v>49</v>
      </c>
      <c r="AK8" s="8" t="s">
        <v>49</v>
      </c>
      <c r="AL8" s="8" t="s">
        <v>49</v>
      </c>
      <c r="AM8" s="8" t="s">
        <v>49</v>
      </c>
      <c r="AN8" s="8" t="s">
        <v>49</v>
      </c>
      <c r="AO8" s="6">
        <f>COUNTA(D8:AN8)</f>
      </c>
      <c r="AP8" s="10">
        <f>ROUND((AO8/32)*100, 0)</f>
      </c>
      <c r="AQ8" s="8" t="s">
        <v>50</v>
      </c>
    </row>
    <row r="9" ht="20" customHeight="1" spans="1:43" x14ac:dyDescent="0.25">
      <c r="A9" s="4" t="s">
        <v>56</v>
      </c>
      <c r="B9" s="4" t="s">
        <v>46</v>
      </c>
      <c r="C9" s="4" t="s">
        <v>47</v>
      </c>
      <c r="D9" s="5" t="s">
        <v>48</v>
      </c>
      <c r="E9" s="5" t="s">
        <v>48</v>
      </c>
      <c r="F9" s="5" t="s">
        <v>48</v>
      </c>
      <c r="G9" s="5" t="s">
        <v>48</v>
      </c>
      <c r="H9" s="5" t="s">
        <v>48</v>
      </c>
      <c r="I9" s="5" t="s">
        <v>48</v>
      </c>
      <c r="J9" s="5" t="s">
        <v>48</v>
      </c>
      <c r="K9" s="5" t="s">
        <v>48</v>
      </c>
      <c r="L9" s="5" t="s">
        <v>48</v>
      </c>
      <c r="M9" s="5" t="s">
        <v>48</v>
      </c>
      <c r="N9" s="5" t="s">
        <v>48</v>
      </c>
      <c r="O9" s="5" t="s">
        <v>48</v>
      </c>
      <c r="P9" s="5" t="s">
        <v>48</v>
      </c>
      <c r="Q9" s="5" t="s">
        <v>48</v>
      </c>
      <c r="R9" s="5" t="s">
        <v>48</v>
      </c>
      <c r="S9" s="5" t="s">
        <v>48</v>
      </c>
      <c r="T9" s="5" t="s">
        <v>48</v>
      </c>
      <c r="U9" s="5" t="s">
        <v>48</v>
      </c>
      <c r="V9" s="5" t="s">
        <v>48</v>
      </c>
      <c r="W9" s="5" t="s">
        <v>48</v>
      </c>
      <c r="X9" s="5" t="s">
        <v>48</v>
      </c>
      <c r="Y9" s="5" t="s">
        <v>48</v>
      </c>
      <c r="Z9" s="5" t="s">
        <v>48</v>
      </c>
      <c r="AA9" s="5" t="s">
        <v>48</v>
      </c>
      <c r="AB9" s="5" t="s">
        <v>48</v>
      </c>
      <c r="AC9" s="5" t="s">
        <v>48</v>
      </c>
      <c r="AD9" s="5" t="s">
        <v>48</v>
      </c>
      <c r="AE9" s="5" t="s">
        <v>48</v>
      </c>
      <c r="AF9" s="5" t="s">
        <v>48</v>
      </c>
      <c r="AG9" s="5" t="s">
        <v>48</v>
      </c>
      <c r="AH9" s="5" t="s">
        <v>48</v>
      </c>
      <c r="AI9" s="5" t="s">
        <v>48</v>
      </c>
      <c r="AJ9" s="4" t="s">
        <v>49</v>
      </c>
      <c r="AK9" s="4" t="s">
        <v>49</v>
      </c>
      <c r="AL9" s="4" t="s">
        <v>49</v>
      </c>
      <c r="AM9" s="4" t="s">
        <v>49</v>
      </c>
      <c r="AN9" s="4" t="s">
        <v>49</v>
      </c>
      <c r="AO9" s="6">
        <f>COUNTA(D9:AN9)</f>
      </c>
      <c r="AP9" s="7">
        <f>ROUND((AO9/32)*100, 0)</f>
      </c>
      <c r="AQ9" s="4" t="s">
        <v>50</v>
      </c>
    </row>
    <row r="10" ht="20" customHeight="1" spans="1:43" x14ac:dyDescent="0.25">
      <c r="A10" s="8" t="s">
        <v>57</v>
      </c>
      <c r="B10" s="8" t="s">
        <v>46</v>
      </c>
      <c r="C10" s="8" t="s">
        <v>52</v>
      </c>
      <c r="D10" s="9" t="s">
        <v>48</v>
      </c>
      <c r="E10" s="9" t="s">
        <v>48</v>
      </c>
      <c r="F10" s="9" t="s">
        <v>48</v>
      </c>
      <c r="G10" s="9" t="s">
        <v>48</v>
      </c>
      <c r="H10" s="9" t="s">
        <v>48</v>
      </c>
      <c r="I10" s="9" t="s">
        <v>48</v>
      </c>
      <c r="J10" s="9" t="s">
        <v>48</v>
      </c>
      <c r="K10" s="9" t="s">
        <v>48</v>
      </c>
      <c r="L10" s="9" t="s">
        <v>48</v>
      </c>
      <c r="M10" s="9" t="s">
        <v>48</v>
      </c>
      <c r="N10" s="9" t="s">
        <v>48</v>
      </c>
      <c r="O10" s="9" t="s">
        <v>48</v>
      </c>
      <c r="P10" s="9" t="s">
        <v>48</v>
      </c>
      <c r="Q10" s="9" t="s">
        <v>48</v>
      </c>
      <c r="R10" s="9" t="s">
        <v>48</v>
      </c>
      <c r="S10" s="9" t="s">
        <v>48</v>
      </c>
      <c r="T10" s="9" t="s">
        <v>48</v>
      </c>
      <c r="U10" s="9" t="s">
        <v>48</v>
      </c>
      <c r="V10" s="9" t="s">
        <v>48</v>
      </c>
      <c r="W10" s="9" t="s">
        <v>48</v>
      </c>
      <c r="X10" s="9" t="s">
        <v>48</v>
      </c>
      <c r="Y10" s="9" t="s">
        <v>48</v>
      </c>
      <c r="Z10" s="9" t="s">
        <v>48</v>
      </c>
      <c r="AA10" s="9" t="s">
        <v>48</v>
      </c>
      <c r="AB10" s="9" t="s">
        <v>48</v>
      </c>
      <c r="AC10" s="9" t="s">
        <v>48</v>
      </c>
      <c r="AD10" s="9" t="s">
        <v>48</v>
      </c>
      <c r="AE10" s="9" t="s">
        <v>48</v>
      </c>
      <c r="AF10" s="9" t="s">
        <v>48</v>
      </c>
      <c r="AG10" s="9" t="s">
        <v>48</v>
      </c>
      <c r="AH10" s="9" t="s">
        <v>48</v>
      </c>
      <c r="AI10" s="9" t="s">
        <v>48</v>
      </c>
      <c r="AJ10" s="8" t="s">
        <v>49</v>
      </c>
      <c r="AK10" s="8" t="s">
        <v>49</v>
      </c>
      <c r="AL10" s="8" t="s">
        <v>49</v>
      </c>
      <c r="AM10" s="8" t="s">
        <v>49</v>
      </c>
      <c r="AN10" s="8" t="s">
        <v>49</v>
      </c>
      <c r="AO10" s="6">
        <f>COUNTA(D10:AN10)</f>
      </c>
      <c r="AP10" s="10">
        <f>ROUND((AO10/32)*100, 0)</f>
      </c>
      <c r="AQ10" s="8" t="s">
        <v>50</v>
      </c>
    </row>
    <row r="11" ht="20" customHeight="1" spans="1:43" x14ac:dyDescent="0.25">
      <c r="A11" s="4" t="s">
        <v>58</v>
      </c>
      <c r="B11" s="4" t="s">
        <v>59</v>
      </c>
      <c r="C11" s="4" t="s">
        <v>60</v>
      </c>
      <c r="D11" s="5" t="s">
        <v>48</v>
      </c>
      <c r="E11" s="5" t="s">
        <v>48</v>
      </c>
      <c r="F11" s="5" t="s">
        <v>48</v>
      </c>
      <c r="G11" s="5" t="s">
        <v>48</v>
      </c>
      <c r="H11" s="5" t="s">
        <v>48</v>
      </c>
      <c r="I11" s="5" t="s">
        <v>48</v>
      </c>
      <c r="J11" s="5" t="s">
        <v>48</v>
      </c>
      <c r="K11" s="5" t="s">
        <v>48</v>
      </c>
      <c r="L11" s="5" t="s">
        <v>48</v>
      </c>
      <c r="M11" s="5" t="s">
        <v>48</v>
      </c>
      <c r="N11" s="5" t="s">
        <v>48</v>
      </c>
      <c r="O11" s="5" t="s">
        <v>48</v>
      </c>
      <c r="P11" s="5" t="s">
        <v>48</v>
      </c>
      <c r="Q11" s="5" t="s">
        <v>48</v>
      </c>
      <c r="R11" s="5" t="s">
        <v>48</v>
      </c>
      <c r="S11" s="5" t="s">
        <v>48</v>
      </c>
      <c r="T11" s="5" t="s">
        <v>48</v>
      </c>
      <c r="U11" s="5" t="s">
        <v>48</v>
      </c>
      <c r="V11" s="5" t="s">
        <v>48</v>
      </c>
      <c r="W11" s="5" t="s">
        <v>48</v>
      </c>
      <c r="X11" s="5" t="s">
        <v>48</v>
      </c>
      <c r="Y11" s="5" t="s">
        <v>48</v>
      </c>
      <c r="Z11" s="5" t="s">
        <v>48</v>
      </c>
      <c r="AA11" s="5" t="s">
        <v>48</v>
      </c>
      <c r="AB11" s="5" t="s">
        <v>48</v>
      </c>
      <c r="AC11" s="5" t="s">
        <v>48</v>
      </c>
      <c r="AD11" s="5" t="s">
        <v>48</v>
      </c>
      <c r="AE11" s="5" t="s">
        <v>48</v>
      </c>
      <c r="AF11" s="5" t="s">
        <v>48</v>
      </c>
      <c r="AG11" s="5" t="s">
        <v>48</v>
      </c>
      <c r="AH11" s="5" t="s">
        <v>48</v>
      </c>
      <c r="AI11" s="5" t="s">
        <v>48</v>
      </c>
      <c r="AJ11" s="4" t="s">
        <v>49</v>
      </c>
      <c r="AK11" s="4" t="s">
        <v>49</v>
      </c>
      <c r="AL11" s="4" t="s">
        <v>49</v>
      </c>
      <c r="AM11" s="4" t="s">
        <v>49</v>
      </c>
      <c r="AN11" s="4" t="s">
        <v>49</v>
      </c>
      <c r="AO11" s="6">
        <f>COUNTA(D11:AN11)</f>
      </c>
      <c r="AP11" s="7">
        <f>ROUND((AO11/32)*100, 0)</f>
      </c>
      <c r="AQ11" s="4" t="s">
        <v>50</v>
      </c>
    </row>
    <row r="12" ht="20" customHeight="1" spans="1:43" x14ac:dyDescent="0.25">
      <c r="A12" s="8" t="s">
        <v>61</v>
      </c>
      <c r="B12" s="8" t="s">
        <v>59</v>
      </c>
      <c r="C12" s="8" t="s">
        <v>60</v>
      </c>
      <c r="D12" s="9" t="s">
        <v>48</v>
      </c>
      <c r="E12" s="9" t="s">
        <v>48</v>
      </c>
      <c r="F12" s="9" t="s">
        <v>48</v>
      </c>
      <c r="G12" s="9" t="s">
        <v>48</v>
      </c>
      <c r="H12" s="9" t="s">
        <v>48</v>
      </c>
      <c r="I12" s="9" t="s">
        <v>48</v>
      </c>
      <c r="J12" s="9" t="s">
        <v>48</v>
      </c>
      <c r="K12" s="9" t="s">
        <v>48</v>
      </c>
      <c r="L12" s="9" t="s">
        <v>48</v>
      </c>
      <c r="M12" s="9" t="s">
        <v>48</v>
      </c>
      <c r="N12" s="9" t="s">
        <v>48</v>
      </c>
      <c r="O12" s="9" t="s">
        <v>48</v>
      </c>
      <c r="P12" s="9" t="s">
        <v>48</v>
      </c>
      <c r="Q12" s="9" t="s">
        <v>48</v>
      </c>
      <c r="R12" s="9" t="s">
        <v>48</v>
      </c>
      <c r="S12" s="9" t="s">
        <v>48</v>
      </c>
      <c r="T12" s="9" t="s">
        <v>48</v>
      </c>
      <c r="U12" s="9" t="s">
        <v>48</v>
      </c>
      <c r="V12" s="9" t="s">
        <v>48</v>
      </c>
      <c r="W12" s="9" t="s">
        <v>48</v>
      </c>
      <c r="X12" s="9" t="s">
        <v>48</v>
      </c>
      <c r="Y12" s="9" t="s">
        <v>48</v>
      </c>
      <c r="Z12" s="9" t="s">
        <v>48</v>
      </c>
      <c r="AA12" s="9" t="s">
        <v>48</v>
      </c>
      <c r="AB12" s="9" t="s">
        <v>48</v>
      </c>
      <c r="AC12" s="9" t="s">
        <v>48</v>
      </c>
      <c r="AD12" s="9" t="s">
        <v>48</v>
      </c>
      <c r="AE12" s="9" t="s">
        <v>48</v>
      </c>
      <c r="AF12" s="9" t="s">
        <v>48</v>
      </c>
      <c r="AG12" s="9" t="s">
        <v>48</v>
      </c>
      <c r="AH12" s="9" t="s">
        <v>48</v>
      </c>
      <c r="AI12" s="9" t="s">
        <v>48</v>
      </c>
      <c r="AJ12" s="8" t="s">
        <v>49</v>
      </c>
      <c r="AK12" s="8" t="s">
        <v>49</v>
      </c>
      <c r="AL12" s="8" t="s">
        <v>49</v>
      </c>
      <c r="AM12" s="8" t="s">
        <v>49</v>
      </c>
      <c r="AN12" s="8" t="s">
        <v>49</v>
      </c>
      <c r="AO12" s="6">
        <f>COUNTA(D12:AN12)</f>
      </c>
      <c r="AP12" s="10">
        <f>ROUND((AO12/32)*100, 0)</f>
      </c>
      <c r="AQ12" s="8" t="s">
        <v>50</v>
      </c>
    </row>
    <row r="13" ht="20" customHeight="1" spans="1:43" x14ac:dyDescent="0.25">
      <c r="A13" s="4" t="s">
        <v>62</v>
      </c>
      <c r="B13" s="4" t="s">
        <v>59</v>
      </c>
      <c r="C13" s="4" t="s">
        <v>47</v>
      </c>
      <c r="D13" s="5" t="s">
        <v>48</v>
      </c>
      <c r="E13" s="5" t="s">
        <v>48</v>
      </c>
      <c r="F13" s="5" t="s">
        <v>48</v>
      </c>
      <c r="G13" s="5" t="s">
        <v>48</v>
      </c>
      <c r="H13" s="5" t="s">
        <v>48</v>
      </c>
      <c r="I13" s="5" t="s">
        <v>48</v>
      </c>
      <c r="J13" s="5" t="s">
        <v>48</v>
      </c>
      <c r="K13" s="5" t="s">
        <v>48</v>
      </c>
      <c r="L13" s="5" t="s">
        <v>48</v>
      </c>
      <c r="M13" s="5" t="s">
        <v>48</v>
      </c>
      <c r="N13" s="5" t="s">
        <v>48</v>
      </c>
      <c r="O13" s="5" t="s">
        <v>48</v>
      </c>
      <c r="P13" s="5" t="s">
        <v>48</v>
      </c>
      <c r="Q13" s="5" t="s">
        <v>48</v>
      </c>
      <c r="R13" s="5" t="s">
        <v>48</v>
      </c>
      <c r="S13" s="5" t="s">
        <v>48</v>
      </c>
      <c r="T13" s="5" t="s">
        <v>48</v>
      </c>
      <c r="U13" s="5" t="s">
        <v>48</v>
      </c>
      <c r="V13" s="5" t="s">
        <v>48</v>
      </c>
      <c r="W13" s="5" t="s">
        <v>48</v>
      </c>
      <c r="X13" s="5" t="s">
        <v>48</v>
      </c>
      <c r="Y13" s="5" t="s">
        <v>48</v>
      </c>
      <c r="Z13" s="5" t="s">
        <v>48</v>
      </c>
      <c r="AA13" s="5" t="s">
        <v>48</v>
      </c>
      <c r="AB13" s="5" t="s">
        <v>48</v>
      </c>
      <c r="AC13" s="5" t="s">
        <v>48</v>
      </c>
      <c r="AD13" s="5" t="s">
        <v>48</v>
      </c>
      <c r="AE13" s="5" t="s">
        <v>48</v>
      </c>
      <c r="AF13" s="5" t="s">
        <v>48</v>
      </c>
      <c r="AG13" s="5" t="s">
        <v>48</v>
      </c>
      <c r="AH13" s="5" t="s">
        <v>48</v>
      </c>
      <c r="AI13" s="5" t="s">
        <v>48</v>
      </c>
      <c r="AJ13" s="4" t="s">
        <v>49</v>
      </c>
      <c r="AK13" s="4" t="s">
        <v>49</v>
      </c>
      <c r="AL13" s="4" t="s">
        <v>49</v>
      </c>
      <c r="AM13" s="4" t="s">
        <v>49</v>
      </c>
      <c r="AN13" s="4" t="s">
        <v>49</v>
      </c>
      <c r="AO13" s="6">
        <f>COUNTA(D13:AN13)</f>
      </c>
      <c r="AP13" s="7">
        <f>ROUND((AO13/32)*100, 0)</f>
      </c>
      <c r="AQ13" s="4" t="s">
        <v>50</v>
      </c>
    </row>
    <row r="14" ht="20" customHeight="1" spans="1:43" x14ac:dyDescent="0.25">
      <c r="A14" s="8" t="s">
        <v>63</v>
      </c>
      <c r="B14" s="8" t="s">
        <v>59</v>
      </c>
      <c r="C14" s="8" t="s">
        <v>47</v>
      </c>
      <c r="D14" s="9" t="s">
        <v>48</v>
      </c>
      <c r="E14" s="9" t="s">
        <v>48</v>
      </c>
      <c r="F14" s="9" t="s">
        <v>48</v>
      </c>
      <c r="G14" s="9" t="s">
        <v>48</v>
      </c>
      <c r="H14" s="9" t="s">
        <v>48</v>
      </c>
      <c r="I14" s="9" t="s">
        <v>48</v>
      </c>
      <c r="J14" s="9" t="s">
        <v>48</v>
      </c>
      <c r="K14" s="9" t="s">
        <v>48</v>
      </c>
      <c r="L14" s="9" t="s">
        <v>48</v>
      </c>
      <c r="M14" s="9" t="s">
        <v>48</v>
      </c>
      <c r="N14" s="9" t="s">
        <v>48</v>
      </c>
      <c r="O14" s="9" t="s">
        <v>48</v>
      </c>
      <c r="P14" s="9" t="s">
        <v>48</v>
      </c>
      <c r="Q14" s="9" t="s">
        <v>48</v>
      </c>
      <c r="R14" s="9" t="s">
        <v>48</v>
      </c>
      <c r="S14" s="9" t="s">
        <v>48</v>
      </c>
      <c r="T14" s="9" t="s">
        <v>48</v>
      </c>
      <c r="U14" s="9" t="s">
        <v>48</v>
      </c>
      <c r="V14" s="9" t="s">
        <v>48</v>
      </c>
      <c r="W14" s="9" t="s">
        <v>48</v>
      </c>
      <c r="X14" s="9" t="s">
        <v>48</v>
      </c>
      <c r="Y14" s="9" t="s">
        <v>48</v>
      </c>
      <c r="Z14" s="9" t="s">
        <v>48</v>
      </c>
      <c r="AA14" s="9" t="s">
        <v>48</v>
      </c>
      <c r="AB14" s="9" t="s">
        <v>48</v>
      </c>
      <c r="AC14" s="9" t="s">
        <v>48</v>
      </c>
      <c r="AD14" s="9" t="s">
        <v>48</v>
      </c>
      <c r="AE14" s="9" t="s">
        <v>48</v>
      </c>
      <c r="AF14" s="9" t="s">
        <v>48</v>
      </c>
      <c r="AG14" s="9" t="s">
        <v>48</v>
      </c>
      <c r="AH14" s="9" t="s">
        <v>48</v>
      </c>
      <c r="AI14" s="9" t="s">
        <v>48</v>
      </c>
      <c r="AJ14" s="8" t="s">
        <v>49</v>
      </c>
      <c r="AK14" s="8" t="s">
        <v>49</v>
      </c>
      <c r="AL14" s="8" t="s">
        <v>49</v>
      </c>
      <c r="AM14" s="8" t="s">
        <v>49</v>
      </c>
      <c r="AN14" s="8" t="s">
        <v>49</v>
      </c>
      <c r="AO14" s="6">
        <f>COUNTA(D14:AN14)</f>
      </c>
      <c r="AP14" s="10">
        <f>ROUND((AO14/32)*100, 0)</f>
      </c>
      <c r="AQ14" s="8" t="s">
        <v>50</v>
      </c>
    </row>
    <row r="15" ht="20" customHeight="1" spans="1:43" x14ac:dyDescent="0.25">
      <c r="A15" s="4" t="s">
        <v>64</v>
      </c>
      <c r="B15" s="4" t="s">
        <v>59</v>
      </c>
      <c r="C15" s="4" t="s">
        <v>65</v>
      </c>
      <c r="D15" s="5" t="s">
        <v>48</v>
      </c>
      <c r="E15" s="5" t="s">
        <v>48</v>
      </c>
      <c r="F15" s="5" t="s">
        <v>48</v>
      </c>
      <c r="G15" s="5" t="s">
        <v>48</v>
      </c>
      <c r="H15" s="5" t="s">
        <v>48</v>
      </c>
      <c r="I15" s="5" t="s">
        <v>48</v>
      </c>
      <c r="J15" s="5" t="s">
        <v>48</v>
      </c>
      <c r="K15" s="5" t="s">
        <v>48</v>
      </c>
      <c r="L15" s="5" t="s">
        <v>48</v>
      </c>
      <c r="M15" s="5" t="s">
        <v>48</v>
      </c>
      <c r="N15" s="5" t="s">
        <v>48</v>
      </c>
      <c r="O15" s="5" t="s">
        <v>48</v>
      </c>
      <c r="P15" s="5" t="s">
        <v>48</v>
      </c>
      <c r="Q15" s="5" t="s">
        <v>48</v>
      </c>
      <c r="R15" s="5" t="s">
        <v>48</v>
      </c>
      <c r="S15" s="5" t="s">
        <v>48</v>
      </c>
      <c r="T15" s="5" t="s">
        <v>48</v>
      </c>
      <c r="U15" s="5" t="s">
        <v>48</v>
      </c>
      <c r="V15" s="5" t="s">
        <v>48</v>
      </c>
      <c r="W15" s="5" t="s">
        <v>48</v>
      </c>
      <c r="X15" s="5" t="s">
        <v>48</v>
      </c>
      <c r="Y15" s="5" t="s">
        <v>48</v>
      </c>
      <c r="Z15" s="5" t="s">
        <v>48</v>
      </c>
      <c r="AA15" s="5" t="s">
        <v>48</v>
      </c>
      <c r="AB15" s="5" t="s">
        <v>48</v>
      </c>
      <c r="AC15" s="5" t="s">
        <v>48</v>
      </c>
      <c r="AD15" s="5" t="s">
        <v>48</v>
      </c>
      <c r="AE15" s="5" t="s">
        <v>48</v>
      </c>
      <c r="AF15" s="5" t="s">
        <v>48</v>
      </c>
      <c r="AG15" s="5" t="s">
        <v>48</v>
      </c>
      <c r="AH15" s="5" t="s">
        <v>48</v>
      </c>
      <c r="AI15" s="5" t="s">
        <v>48</v>
      </c>
      <c r="AJ15" s="4" t="s">
        <v>49</v>
      </c>
      <c r="AK15" s="4" t="s">
        <v>49</v>
      </c>
      <c r="AL15" s="4" t="s">
        <v>49</v>
      </c>
      <c r="AM15" s="4" t="s">
        <v>49</v>
      </c>
      <c r="AN15" s="4" t="s">
        <v>49</v>
      </c>
      <c r="AO15" s="6">
        <f>COUNTA(D15:AN15)</f>
      </c>
      <c r="AP15" s="7">
        <f>ROUND((AO15/32)*100, 0)</f>
      </c>
      <c r="AQ15" s="4" t="s">
        <v>50</v>
      </c>
    </row>
    <row r="16" ht="20" customHeight="1" spans="1:43" x14ac:dyDescent="0.25">
      <c r="A16" s="8" t="s">
        <v>66</v>
      </c>
      <c r="B16" s="8" t="s">
        <v>59</v>
      </c>
      <c r="C16" s="8" t="s">
        <v>54</v>
      </c>
      <c r="D16" s="9" t="s">
        <v>48</v>
      </c>
      <c r="E16" s="9" t="s">
        <v>48</v>
      </c>
      <c r="F16" s="9" t="s">
        <v>48</v>
      </c>
      <c r="G16" s="9" t="s">
        <v>48</v>
      </c>
      <c r="H16" s="9" t="s">
        <v>48</v>
      </c>
      <c r="I16" s="9" t="s">
        <v>48</v>
      </c>
      <c r="J16" s="9" t="s">
        <v>48</v>
      </c>
      <c r="K16" s="9" t="s">
        <v>48</v>
      </c>
      <c r="L16" s="9" t="s">
        <v>48</v>
      </c>
      <c r="M16" s="9" t="s">
        <v>48</v>
      </c>
      <c r="N16" s="9" t="s">
        <v>48</v>
      </c>
      <c r="O16" s="9" t="s">
        <v>48</v>
      </c>
      <c r="P16" s="9" t="s">
        <v>48</v>
      </c>
      <c r="Q16" s="9" t="s">
        <v>48</v>
      </c>
      <c r="R16" s="9" t="s">
        <v>48</v>
      </c>
      <c r="S16" s="9" t="s">
        <v>48</v>
      </c>
      <c r="T16" s="9" t="s">
        <v>48</v>
      </c>
      <c r="U16" s="9" t="s">
        <v>48</v>
      </c>
      <c r="V16" s="9" t="s">
        <v>48</v>
      </c>
      <c r="W16" s="9" t="s">
        <v>48</v>
      </c>
      <c r="X16" s="9" t="s">
        <v>48</v>
      </c>
      <c r="Y16" s="9" t="s">
        <v>48</v>
      </c>
      <c r="Z16" s="9" t="s">
        <v>48</v>
      </c>
      <c r="AA16" s="9" t="s">
        <v>48</v>
      </c>
      <c r="AB16" s="9" t="s">
        <v>48</v>
      </c>
      <c r="AC16" s="9" t="s">
        <v>48</v>
      </c>
      <c r="AD16" s="9" t="s">
        <v>48</v>
      </c>
      <c r="AE16" s="9" t="s">
        <v>48</v>
      </c>
      <c r="AF16" s="9" t="s">
        <v>48</v>
      </c>
      <c r="AG16" s="9" t="s">
        <v>48</v>
      </c>
      <c r="AH16" s="9" t="s">
        <v>48</v>
      </c>
      <c r="AI16" s="9" t="s">
        <v>48</v>
      </c>
      <c r="AJ16" s="8" t="s">
        <v>49</v>
      </c>
      <c r="AK16" s="8" t="s">
        <v>49</v>
      </c>
      <c r="AL16" s="8" t="s">
        <v>49</v>
      </c>
      <c r="AM16" s="8" t="s">
        <v>49</v>
      </c>
      <c r="AN16" s="8" t="s">
        <v>49</v>
      </c>
      <c r="AO16" s="6">
        <f>COUNTA(D16:AN16)</f>
      </c>
      <c r="AP16" s="10">
        <f>ROUND((AO16/32)*100, 0)</f>
      </c>
      <c r="AQ16" s="8" t="s">
        <v>50</v>
      </c>
    </row>
    <row r="17" ht="20" customHeight="1" spans="1:43" x14ac:dyDescent="0.25">
      <c r="A17" s="4" t="s">
        <v>67</v>
      </c>
      <c r="B17" s="4" t="s">
        <v>59</v>
      </c>
      <c r="C17" s="4" t="s">
        <v>47</v>
      </c>
      <c r="D17" s="5" t="s">
        <v>48</v>
      </c>
      <c r="E17" s="5" t="s">
        <v>48</v>
      </c>
      <c r="F17" s="5" t="s">
        <v>48</v>
      </c>
      <c r="G17" s="5" t="s">
        <v>48</v>
      </c>
      <c r="H17" s="5" t="s">
        <v>48</v>
      </c>
      <c r="I17" s="5" t="s">
        <v>48</v>
      </c>
      <c r="J17" s="5" t="s">
        <v>48</v>
      </c>
      <c r="K17" s="5" t="s">
        <v>48</v>
      </c>
      <c r="L17" s="5" t="s">
        <v>48</v>
      </c>
      <c r="M17" s="5" t="s">
        <v>48</v>
      </c>
      <c r="N17" s="5" t="s">
        <v>48</v>
      </c>
      <c r="O17" s="5" t="s">
        <v>48</v>
      </c>
      <c r="P17" s="5" t="s">
        <v>48</v>
      </c>
      <c r="Q17" s="5" t="s">
        <v>48</v>
      </c>
      <c r="R17" s="5" t="s">
        <v>48</v>
      </c>
      <c r="S17" s="5" t="s">
        <v>48</v>
      </c>
      <c r="T17" s="5" t="s">
        <v>48</v>
      </c>
      <c r="U17" s="5" t="s">
        <v>48</v>
      </c>
      <c r="V17" s="5" t="s">
        <v>48</v>
      </c>
      <c r="W17" s="5" t="s">
        <v>48</v>
      </c>
      <c r="X17" s="5" t="s">
        <v>48</v>
      </c>
      <c r="Y17" s="5" t="s">
        <v>48</v>
      </c>
      <c r="Z17" s="5" t="s">
        <v>48</v>
      </c>
      <c r="AA17" s="5" t="s">
        <v>48</v>
      </c>
      <c r="AB17" s="5" t="s">
        <v>48</v>
      </c>
      <c r="AC17" s="5" t="s">
        <v>48</v>
      </c>
      <c r="AD17" s="5" t="s">
        <v>48</v>
      </c>
      <c r="AE17" s="5" t="s">
        <v>48</v>
      </c>
      <c r="AF17" s="5" t="s">
        <v>48</v>
      </c>
      <c r="AG17" s="5" t="s">
        <v>48</v>
      </c>
      <c r="AH17" s="5" t="s">
        <v>48</v>
      </c>
      <c r="AI17" s="5" t="s">
        <v>48</v>
      </c>
      <c r="AJ17" s="4" t="s">
        <v>49</v>
      </c>
      <c r="AK17" s="4" t="s">
        <v>49</v>
      </c>
      <c r="AL17" s="4" t="s">
        <v>49</v>
      </c>
      <c r="AM17" s="4" t="s">
        <v>49</v>
      </c>
      <c r="AN17" s="4" t="s">
        <v>49</v>
      </c>
      <c r="AO17" s="6">
        <f>COUNTA(D17:AN17)</f>
      </c>
      <c r="AP17" s="7">
        <f>ROUND((AO17/32)*100, 0)</f>
      </c>
      <c r="AQ17" s="4" t="s">
        <v>50</v>
      </c>
    </row>
    <row r="18" ht="20" customHeight="1" spans="1:43" x14ac:dyDescent="0.25">
      <c r="A18" s="8" t="s">
        <v>68</v>
      </c>
      <c r="B18" s="8" t="s">
        <v>69</v>
      </c>
      <c r="C18" s="8" t="s">
        <v>70</v>
      </c>
      <c r="D18" s="9" t="s">
        <v>48</v>
      </c>
      <c r="E18" s="9" t="s">
        <v>48</v>
      </c>
      <c r="F18" s="9" t="s">
        <v>48</v>
      </c>
      <c r="G18" s="9" t="s">
        <v>48</v>
      </c>
      <c r="H18" s="9" t="s">
        <v>48</v>
      </c>
      <c r="I18" s="9" t="s">
        <v>48</v>
      </c>
      <c r="J18" s="9" t="s">
        <v>48</v>
      </c>
      <c r="K18" s="9" t="s">
        <v>48</v>
      </c>
      <c r="L18" s="9" t="s">
        <v>48</v>
      </c>
      <c r="M18" s="9" t="s">
        <v>48</v>
      </c>
      <c r="N18" s="9" t="s">
        <v>48</v>
      </c>
      <c r="O18" s="9" t="s">
        <v>48</v>
      </c>
      <c r="P18" s="9" t="s">
        <v>48</v>
      </c>
      <c r="Q18" s="9" t="s">
        <v>48</v>
      </c>
      <c r="R18" s="9" t="s">
        <v>48</v>
      </c>
      <c r="S18" s="9" t="s">
        <v>48</v>
      </c>
      <c r="T18" s="9" t="s">
        <v>48</v>
      </c>
      <c r="U18" s="9" t="s">
        <v>48</v>
      </c>
      <c r="V18" s="9" t="s">
        <v>48</v>
      </c>
      <c r="W18" s="9" t="s">
        <v>48</v>
      </c>
      <c r="X18" s="9" t="s">
        <v>48</v>
      </c>
      <c r="Y18" s="9" t="s">
        <v>48</v>
      </c>
      <c r="Z18" s="9" t="s">
        <v>48</v>
      </c>
      <c r="AA18" s="9" t="s">
        <v>48</v>
      </c>
      <c r="AB18" s="9" t="s">
        <v>48</v>
      </c>
      <c r="AC18" s="9" t="s">
        <v>48</v>
      </c>
      <c r="AD18" s="9" t="s">
        <v>48</v>
      </c>
      <c r="AE18" s="9" t="s">
        <v>48</v>
      </c>
      <c r="AF18" s="9" t="s">
        <v>48</v>
      </c>
      <c r="AG18" s="9" t="s">
        <v>48</v>
      </c>
      <c r="AH18" s="9" t="s">
        <v>48</v>
      </c>
      <c r="AI18" s="9" t="s">
        <v>48</v>
      </c>
      <c r="AJ18" s="8" t="s">
        <v>49</v>
      </c>
      <c r="AK18" s="8" t="s">
        <v>49</v>
      </c>
      <c r="AL18" s="8" t="s">
        <v>49</v>
      </c>
      <c r="AM18" s="8" t="s">
        <v>49</v>
      </c>
      <c r="AN18" s="8" t="s">
        <v>49</v>
      </c>
      <c r="AO18" s="6">
        <f>COUNTA(D18:AN18)</f>
      </c>
      <c r="AP18" s="10">
        <f>ROUND((AO18/32)*100, 0)</f>
      </c>
      <c r="AQ18" s="8" t="s">
        <v>50</v>
      </c>
    </row>
    <row r="19" ht="20" customHeight="1" spans="1:43" x14ac:dyDescent="0.25">
      <c r="A19" s="4" t="s">
        <v>71</v>
      </c>
      <c r="B19" s="4" t="s">
        <v>69</v>
      </c>
      <c r="C19" s="4" t="s">
        <v>60</v>
      </c>
      <c r="D19" s="5" t="s">
        <v>48</v>
      </c>
      <c r="E19" s="5" t="s">
        <v>48</v>
      </c>
      <c r="F19" s="5" t="s">
        <v>48</v>
      </c>
      <c r="G19" s="5" t="s">
        <v>48</v>
      </c>
      <c r="H19" s="5" t="s">
        <v>48</v>
      </c>
      <c r="I19" s="5" t="s">
        <v>48</v>
      </c>
      <c r="J19" s="5" t="s">
        <v>48</v>
      </c>
      <c r="K19" s="5" t="s">
        <v>48</v>
      </c>
      <c r="L19" s="5" t="s">
        <v>48</v>
      </c>
      <c r="M19" s="5" t="s">
        <v>48</v>
      </c>
      <c r="N19" s="5" t="s">
        <v>48</v>
      </c>
      <c r="O19" s="5" t="s">
        <v>48</v>
      </c>
      <c r="P19" s="5" t="s">
        <v>48</v>
      </c>
      <c r="Q19" s="5" t="s">
        <v>48</v>
      </c>
      <c r="R19" s="5" t="s">
        <v>48</v>
      </c>
      <c r="S19" s="5" t="s">
        <v>48</v>
      </c>
      <c r="T19" s="5" t="s">
        <v>48</v>
      </c>
      <c r="U19" s="5" t="s">
        <v>48</v>
      </c>
      <c r="V19" s="5" t="s">
        <v>48</v>
      </c>
      <c r="W19" s="5" t="s">
        <v>48</v>
      </c>
      <c r="X19" s="5" t="s">
        <v>48</v>
      </c>
      <c r="Y19" s="5" t="s">
        <v>48</v>
      </c>
      <c r="Z19" s="5" t="s">
        <v>48</v>
      </c>
      <c r="AA19" s="5" t="s">
        <v>48</v>
      </c>
      <c r="AB19" s="5" t="s">
        <v>48</v>
      </c>
      <c r="AC19" s="5" t="s">
        <v>48</v>
      </c>
      <c r="AD19" s="5" t="s">
        <v>48</v>
      </c>
      <c r="AE19" s="5" t="s">
        <v>48</v>
      </c>
      <c r="AF19" s="5" t="s">
        <v>48</v>
      </c>
      <c r="AG19" s="5" t="s">
        <v>48</v>
      </c>
      <c r="AH19" s="5" t="s">
        <v>48</v>
      </c>
      <c r="AI19" s="5" t="s">
        <v>48</v>
      </c>
      <c r="AJ19" s="4" t="s">
        <v>49</v>
      </c>
      <c r="AK19" s="4" t="s">
        <v>49</v>
      </c>
      <c r="AL19" s="4" t="s">
        <v>49</v>
      </c>
      <c r="AM19" s="4" t="s">
        <v>49</v>
      </c>
      <c r="AN19" s="4" t="s">
        <v>49</v>
      </c>
      <c r="AO19" s="6">
        <f>COUNTA(D19:AN19)</f>
      </c>
      <c r="AP19" s="7">
        <f>ROUND((AO19/32)*100, 0)</f>
      </c>
      <c r="AQ19" s="4" t="s">
        <v>50</v>
      </c>
    </row>
    <row r="20" ht="20" customHeight="1" spans="1:43" x14ac:dyDescent="0.25">
      <c r="A20" s="8" t="s">
        <v>72</v>
      </c>
      <c r="B20" s="8" t="s">
        <v>69</v>
      </c>
      <c r="C20" s="8" t="s">
        <v>47</v>
      </c>
      <c r="D20" s="9" t="s">
        <v>48</v>
      </c>
      <c r="E20" s="9" t="s">
        <v>48</v>
      </c>
      <c r="F20" s="9" t="s">
        <v>48</v>
      </c>
      <c r="G20" s="9" t="s">
        <v>48</v>
      </c>
      <c r="H20" s="9" t="s">
        <v>48</v>
      </c>
      <c r="I20" s="9" t="s">
        <v>48</v>
      </c>
      <c r="J20" s="9" t="s">
        <v>48</v>
      </c>
      <c r="K20" s="9" t="s">
        <v>48</v>
      </c>
      <c r="L20" s="9" t="s">
        <v>48</v>
      </c>
      <c r="M20" s="9" t="s">
        <v>48</v>
      </c>
      <c r="N20" s="9" t="s">
        <v>48</v>
      </c>
      <c r="O20" s="9" t="s">
        <v>48</v>
      </c>
      <c r="P20" s="9" t="s">
        <v>48</v>
      </c>
      <c r="Q20" s="9" t="s">
        <v>48</v>
      </c>
      <c r="R20" s="9" t="s">
        <v>48</v>
      </c>
      <c r="S20" s="9" t="s">
        <v>48</v>
      </c>
      <c r="T20" s="9" t="s">
        <v>48</v>
      </c>
      <c r="U20" s="9" t="s">
        <v>48</v>
      </c>
      <c r="V20" s="9" t="s">
        <v>48</v>
      </c>
      <c r="W20" s="9" t="s">
        <v>48</v>
      </c>
      <c r="X20" s="9" t="s">
        <v>48</v>
      </c>
      <c r="Y20" s="9" t="s">
        <v>48</v>
      </c>
      <c r="Z20" s="9" t="s">
        <v>48</v>
      </c>
      <c r="AA20" s="9" t="s">
        <v>48</v>
      </c>
      <c r="AB20" s="9" t="s">
        <v>48</v>
      </c>
      <c r="AC20" s="9" t="s">
        <v>48</v>
      </c>
      <c r="AD20" s="9" t="s">
        <v>48</v>
      </c>
      <c r="AE20" s="9" t="s">
        <v>48</v>
      </c>
      <c r="AF20" s="9" t="s">
        <v>48</v>
      </c>
      <c r="AG20" s="9" t="s">
        <v>48</v>
      </c>
      <c r="AH20" s="9" t="s">
        <v>48</v>
      </c>
      <c r="AI20" s="9" t="s">
        <v>48</v>
      </c>
      <c r="AJ20" s="8" t="s">
        <v>49</v>
      </c>
      <c r="AK20" s="8" t="s">
        <v>49</v>
      </c>
      <c r="AL20" s="8" t="s">
        <v>49</v>
      </c>
      <c r="AM20" s="8" t="s">
        <v>49</v>
      </c>
      <c r="AN20" s="8" t="s">
        <v>49</v>
      </c>
      <c r="AO20" s="6">
        <f>COUNTA(D20:AN20)</f>
      </c>
      <c r="AP20" s="10">
        <f>ROUND((AO20/32)*100, 0)</f>
      </c>
      <c r="AQ20" s="8" t="s">
        <v>50</v>
      </c>
    </row>
    <row r="21" ht="20" customHeight="1" spans="1:43" x14ac:dyDescent="0.25">
      <c r="A21" s="4" t="s">
        <v>73</v>
      </c>
      <c r="B21" s="4" t="s">
        <v>69</v>
      </c>
      <c r="C21" s="4" t="s">
        <v>52</v>
      </c>
      <c r="D21" s="5" t="s">
        <v>48</v>
      </c>
      <c r="E21" s="5" t="s">
        <v>48</v>
      </c>
      <c r="F21" s="5" t="s">
        <v>48</v>
      </c>
      <c r="G21" s="5" t="s">
        <v>48</v>
      </c>
      <c r="H21" s="5" t="s">
        <v>48</v>
      </c>
      <c r="I21" s="5" t="s">
        <v>48</v>
      </c>
      <c r="J21" s="5" t="s">
        <v>48</v>
      </c>
      <c r="K21" s="5" t="s">
        <v>48</v>
      </c>
      <c r="L21" s="5" t="s">
        <v>48</v>
      </c>
      <c r="M21" s="5" t="s">
        <v>48</v>
      </c>
      <c r="N21" s="5" t="s">
        <v>48</v>
      </c>
      <c r="O21" s="5" t="s">
        <v>48</v>
      </c>
      <c r="P21" s="5" t="s">
        <v>48</v>
      </c>
      <c r="Q21" s="5" t="s">
        <v>48</v>
      </c>
      <c r="R21" s="5" t="s">
        <v>48</v>
      </c>
      <c r="S21" s="5" t="s">
        <v>48</v>
      </c>
      <c r="T21" s="5" t="s">
        <v>48</v>
      </c>
      <c r="U21" s="5" t="s">
        <v>48</v>
      </c>
      <c r="V21" s="5" t="s">
        <v>48</v>
      </c>
      <c r="W21" s="5" t="s">
        <v>48</v>
      </c>
      <c r="X21" s="5" t="s">
        <v>48</v>
      </c>
      <c r="Y21" s="5" t="s">
        <v>48</v>
      </c>
      <c r="Z21" s="5" t="s">
        <v>48</v>
      </c>
      <c r="AA21" s="5" t="s">
        <v>48</v>
      </c>
      <c r="AB21" s="5" t="s">
        <v>48</v>
      </c>
      <c r="AC21" s="5" t="s">
        <v>48</v>
      </c>
      <c r="AD21" s="5" t="s">
        <v>48</v>
      </c>
      <c r="AE21" s="5" t="s">
        <v>48</v>
      </c>
      <c r="AF21" s="5" t="s">
        <v>48</v>
      </c>
      <c r="AG21" s="5" t="s">
        <v>48</v>
      </c>
      <c r="AH21" s="5" t="s">
        <v>48</v>
      </c>
      <c r="AI21" s="5" t="s">
        <v>48</v>
      </c>
      <c r="AJ21" s="4" t="s">
        <v>49</v>
      </c>
      <c r="AK21" s="4" t="s">
        <v>49</v>
      </c>
      <c r="AL21" s="4" t="s">
        <v>49</v>
      </c>
      <c r="AM21" s="4" t="s">
        <v>49</v>
      </c>
      <c r="AN21" s="4" t="s">
        <v>49</v>
      </c>
      <c r="AO21" s="6">
        <f>COUNTA(D21:AN21)</f>
      </c>
      <c r="AP21" s="7">
        <f>ROUND((AO21/32)*100, 0)</f>
      </c>
      <c r="AQ21" s="4" t="s">
        <v>50</v>
      </c>
    </row>
    <row r="22" ht="20" customHeight="1" spans="1:43" x14ac:dyDescent="0.25">
      <c r="A22" s="8" t="s">
        <v>74</v>
      </c>
      <c r="B22" s="8" t="s">
        <v>69</v>
      </c>
      <c r="C22" s="8" t="s">
        <v>54</v>
      </c>
      <c r="D22" s="9" t="s">
        <v>48</v>
      </c>
      <c r="E22" s="9" t="s">
        <v>48</v>
      </c>
      <c r="F22" s="9" t="s">
        <v>48</v>
      </c>
      <c r="G22" s="9" t="s">
        <v>48</v>
      </c>
      <c r="H22" s="9" t="s">
        <v>48</v>
      </c>
      <c r="I22" s="9" t="s">
        <v>48</v>
      </c>
      <c r="J22" s="9" t="s">
        <v>48</v>
      </c>
      <c r="K22" s="9" t="s">
        <v>48</v>
      </c>
      <c r="L22" s="9" t="s">
        <v>48</v>
      </c>
      <c r="M22" s="9" t="s">
        <v>48</v>
      </c>
      <c r="N22" s="9" t="s">
        <v>48</v>
      </c>
      <c r="O22" s="9" t="s">
        <v>48</v>
      </c>
      <c r="P22" s="9" t="s">
        <v>48</v>
      </c>
      <c r="Q22" s="9" t="s">
        <v>48</v>
      </c>
      <c r="R22" s="9" t="s">
        <v>48</v>
      </c>
      <c r="S22" s="9" t="s">
        <v>48</v>
      </c>
      <c r="T22" s="9" t="s">
        <v>48</v>
      </c>
      <c r="U22" s="9" t="s">
        <v>48</v>
      </c>
      <c r="V22" s="9" t="s">
        <v>48</v>
      </c>
      <c r="W22" s="9" t="s">
        <v>48</v>
      </c>
      <c r="X22" s="9" t="s">
        <v>48</v>
      </c>
      <c r="Y22" s="9" t="s">
        <v>48</v>
      </c>
      <c r="Z22" s="9" t="s">
        <v>48</v>
      </c>
      <c r="AA22" s="9" t="s">
        <v>48</v>
      </c>
      <c r="AB22" s="9" t="s">
        <v>48</v>
      </c>
      <c r="AC22" s="9" t="s">
        <v>48</v>
      </c>
      <c r="AD22" s="9" t="s">
        <v>48</v>
      </c>
      <c r="AE22" s="9" t="s">
        <v>48</v>
      </c>
      <c r="AF22" s="9" t="s">
        <v>48</v>
      </c>
      <c r="AG22" s="9" t="s">
        <v>48</v>
      </c>
      <c r="AH22" s="9" t="s">
        <v>48</v>
      </c>
      <c r="AI22" s="9" t="s">
        <v>48</v>
      </c>
      <c r="AJ22" s="8" t="s">
        <v>49</v>
      </c>
      <c r="AK22" s="8" t="s">
        <v>49</v>
      </c>
      <c r="AL22" s="8" t="s">
        <v>49</v>
      </c>
      <c r="AM22" s="8" t="s">
        <v>49</v>
      </c>
      <c r="AN22" s="8" t="s">
        <v>49</v>
      </c>
      <c r="AO22" s="6">
        <f>COUNTA(D22:AN22)</f>
      </c>
      <c r="AP22" s="10">
        <f>ROUND((AO22/32)*100, 0)</f>
      </c>
      <c r="AQ22" s="8" t="s">
        <v>50</v>
      </c>
    </row>
    <row r="23" ht="20" customHeight="1" spans="1:43" x14ac:dyDescent="0.25">
      <c r="A23" s="4" t="s">
        <v>75</v>
      </c>
      <c r="B23" s="4" t="s">
        <v>69</v>
      </c>
      <c r="C23" s="4" t="s">
        <v>47</v>
      </c>
      <c r="D23" s="5" t="s">
        <v>48</v>
      </c>
      <c r="E23" s="5" t="s">
        <v>48</v>
      </c>
      <c r="F23" s="5" t="s">
        <v>48</v>
      </c>
      <c r="G23" s="5" t="s">
        <v>48</v>
      </c>
      <c r="H23" s="5" t="s">
        <v>48</v>
      </c>
      <c r="I23" s="5" t="s">
        <v>48</v>
      </c>
      <c r="J23" s="5" t="s">
        <v>48</v>
      </c>
      <c r="K23" s="5" t="s">
        <v>48</v>
      </c>
      <c r="L23" s="5" t="s">
        <v>48</v>
      </c>
      <c r="M23" s="5" t="s">
        <v>48</v>
      </c>
      <c r="N23" s="5" t="s">
        <v>48</v>
      </c>
      <c r="O23" s="5" t="s">
        <v>48</v>
      </c>
      <c r="P23" s="5" t="s">
        <v>48</v>
      </c>
      <c r="Q23" s="5" t="s">
        <v>48</v>
      </c>
      <c r="R23" s="5" t="s">
        <v>48</v>
      </c>
      <c r="S23" s="5" t="s">
        <v>48</v>
      </c>
      <c r="T23" s="5" t="s">
        <v>48</v>
      </c>
      <c r="U23" s="5" t="s">
        <v>48</v>
      </c>
      <c r="V23" s="5" t="s">
        <v>48</v>
      </c>
      <c r="W23" s="5" t="s">
        <v>48</v>
      </c>
      <c r="X23" s="5" t="s">
        <v>48</v>
      </c>
      <c r="Y23" s="5" t="s">
        <v>48</v>
      </c>
      <c r="Z23" s="5" t="s">
        <v>48</v>
      </c>
      <c r="AA23" s="5" t="s">
        <v>48</v>
      </c>
      <c r="AB23" s="5" t="s">
        <v>48</v>
      </c>
      <c r="AC23" s="5" t="s">
        <v>48</v>
      </c>
      <c r="AD23" s="5" t="s">
        <v>48</v>
      </c>
      <c r="AE23" s="5" t="s">
        <v>48</v>
      </c>
      <c r="AF23" s="5" t="s">
        <v>48</v>
      </c>
      <c r="AG23" s="5" t="s">
        <v>48</v>
      </c>
      <c r="AH23" s="5" t="s">
        <v>48</v>
      </c>
      <c r="AI23" s="5" t="s">
        <v>48</v>
      </c>
      <c r="AJ23" s="4" t="s">
        <v>49</v>
      </c>
      <c r="AK23" s="4" t="s">
        <v>49</v>
      </c>
      <c r="AL23" s="4" t="s">
        <v>49</v>
      </c>
      <c r="AM23" s="4" t="s">
        <v>49</v>
      </c>
      <c r="AN23" s="4" t="s">
        <v>49</v>
      </c>
      <c r="AO23" s="6">
        <f>COUNTA(D23:AN23)</f>
      </c>
      <c r="AP23" s="7">
        <f>ROUND((AO23/32)*100, 0)</f>
      </c>
      <c r="AQ23" s="4" t="s">
        <v>50</v>
      </c>
    </row>
    <row r="24" ht="20" customHeight="1" spans="1:43" x14ac:dyDescent="0.25">
      <c r="A24" s="8" t="s">
        <v>76</v>
      </c>
      <c r="B24" s="8" t="s">
        <v>77</v>
      </c>
      <c r="C24" s="8" t="s">
        <v>78</v>
      </c>
      <c r="D24" s="9" t="s">
        <v>48</v>
      </c>
      <c r="E24" s="9" t="s">
        <v>48</v>
      </c>
      <c r="F24" s="9" t="s">
        <v>48</v>
      </c>
      <c r="G24" s="9" t="s">
        <v>48</v>
      </c>
      <c r="H24" s="9" t="s">
        <v>48</v>
      </c>
      <c r="I24" s="9" t="s">
        <v>48</v>
      </c>
      <c r="J24" s="9" t="s">
        <v>48</v>
      </c>
      <c r="K24" s="9" t="s">
        <v>48</v>
      </c>
      <c r="L24" s="9" t="s">
        <v>48</v>
      </c>
      <c r="M24" s="9" t="s">
        <v>48</v>
      </c>
      <c r="N24" s="9" t="s">
        <v>48</v>
      </c>
      <c r="O24" s="9" t="s">
        <v>48</v>
      </c>
      <c r="P24" s="9" t="s">
        <v>48</v>
      </c>
      <c r="Q24" s="9" t="s">
        <v>48</v>
      </c>
      <c r="R24" s="9" t="s">
        <v>48</v>
      </c>
      <c r="S24" s="9" t="s">
        <v>48</v>
      </c>
      <c r="T24" s="9" t="s">
        <v>48</v>
      </c>
      <c r="U24" s="9" t="s">
        <v>48</v>
      </c>
      <c r="V24" s="9" t="s">
        <v>48</v>
      </c>
      <c r="W24" s="9" t="s">
        <v>48</v>
      </c>
      <c r="X24" s="9" t="s">
        <v>48</v>
      </c>
      <c r="Y24" s="9" t="s">
        <v>48</v>
      </c>
      <c r="Z24" s="9" t="s">
        <v>48</v>
      </c>
      <c r="AA24" s="9" t="s">
        <v>48</v>
      </c>
      <c r="AB24" s="9" t="s">
        <v>48</v>
      </c>
      <c r="AC24" s="9" t="s">
        <v>48</v>
      </c>
      <c r="AD24" s="9" t="s">
        <v>48</v>
      </c>
      <c r="AE24" s="9" t="s">
        <v>48</v>
      </c>
      <c r="AF24" s="9" t="s">
        <v>48</v>
      </c>
      <c r="AG24" s="9" t="s">
        <v>48</v>
      </c>
      <c r="AH24" s="9" t="s">
        <v>48</v>
      </c>
      <c r="AI24" s="9" t="s">
        <v>48</v>
      </c>
      <c r="AJ24" s="8" t="s">
        <v>49</v>
      </c>
      <c r="AK24" s="8" t="s">
        <v>49</v>
      </c>
      <c r="AL24" s="8" t="s">
        <v>49</v>
      </c>
      <c r="AM24" s="8" t="s">
        <v>49</v>
      </c>
      <c r="AN24" s="8" t="s">
        <v>49</v>
      </c>
      <c r="AO24" s="6">
        <f>COUNTA(D24:AN24)</f>
      </c>
      <c r="AP24" s="10">
        <f>ROUND((AO24/32)*100, 0)</f>
      </c>
      <c r="AQ24" s="8" t="s">
        <v>50</v>
      </c>
    </row>
    <row r="25" ht="20" customHeight="1" spans="1:43" x14ac:dyDescent="0.25">
      <c r="A25" s="4" t="s">
        <v>79</v>
      </c>
      <c r="B25" s="4" t="s">
        <v>77</v>
      </c>
      <c r="C25" s="4" t="s">
        <v>80</v>
      </c>
      <c r="D25" s="5" t="s">
        <v>48</v>
      </c>
      <c r="E25" s="5" t="s">
        <v>48</v>
      </c>
      <c r="F25" s="5" t="s">
        <v>48</v>
      </c>
      <c r="G25" s="5" t="s">
        <v>48</v>
      </c>
      <c r="H25" s="5" t="s">
        <v>48</v>
      </c>
      <c r="I25" s="5" t="s">
        <v>48</v>
      </c>
      <c r="J25" s="5" t="s">
        <v>48</v>
      </c>
      <c r="K25" s="5" t="s">
        <v>48</v>
      </c>
      <c r="L25" s="5" t="s">
        <v>48</v>
      </c>
      <c r="M25" s="5" t="s">
        <v>48</v>
      </c>
      <c r="N25" s="5" t="s">
        <v>48</v>
      </c>
      <c r="O25" s="5" t="s">
        <v>48</v>
      </c>
      <c r="P25" s="5" t="s">
        <v>48</v>
      </c>
      <c r="Q25" s="5" t="s">
        <v>48</v>
      </c>
      <c r="R25" s="5" t="s">
        <v>48</v>
      </c>
      <c r="S25" s="5" t="s">
        <v>48</v>
      </c>
      <c r="T25" s="5" t="s">
        <v>48</v>
      </c>
      <c r="U25" s="5" t="s">
        <v>48</v>
      </c>
      <c r="V25" s="5" t="s">
        <v>48</v>
      </c>
      <c r="W25" s="5" t="s">
        <v>48</v>
      </c>
      <c r="X25" s="5" t="s">
        <v>48</v>
      </c>
      <c r="Y25" s="5" t="s">
        <v>48</v>
      </c>
      <c r="Z25" s="5" t="s">
        <v>48</v>
      </c>
      <c r="AA25" s="5" t="s">
        <v>48</v>
      </c>
      <c r="AB25" s="5" t="s">
        <v>48</v>
      </c>
      <c r="AC25" s="5" t="s">
        <v>48</v>
      </c>
      <c r="AD25" s="5" t="s">
        <v>48</v>
      </c>
      <c r="AE25" s="5" t="s">
        <v>48</v>
      </c>
      <c r="AF25" s="5" t="s">
        <v>48</v>
      </c>
      <c r="AG25" s="5" t="s">
        <v>48</v>
      </c>
      <c r="AH25" s="5" t="s">
        <v>48</v>
      </c>
      <c r="AI25" s="5" t="s">
        <v>48</v>
      </c>
      <c r="AJ25" s="4" t="s">
        <v>49</v>
      </c>
      <c r="AK25" s="4" t="s">
        <v>49</v>
      </c>
      <c r="AL25" s="4" t="s">
        <v>49</v>
      </c>
      <c r="AM25" s="4" t="s">
        <v>49</v>
      </c>
      <c r="AN25" s="4" t="s">
        <v>49</v>
      </c>
      <c r="AO25" s="6">
        <f>COUNTA(D25:AN25)</f>
      </c>
      <c r="AP25" s="7">
        <f>ROUND((AO25/32)*100, 0)</f>
      </c>
      <c r="AQ25" s="4" t="s">
        <v>50</v>
      </c>
    </row>
    <row r="26" ht="20" customHeight="1" spans="1:43" x14ac:dyDescent="0.25">
      <c r="A26" s="8" t="s">
        <v>81</v>
      </c>
      <c r="B26" s="8" t="s">
        <v>77</v>
      </c>
      <c r="C26" s="8" t="s">
        <v>80</v>
      </c>
      <c r="D26" s="9" t="s">
        <v>48</v>
      </c>
      <c r="E26" s="9" t="s">
        <v>48</v>
      </c>
      <c r="F26" s="9" t="s">
        <v>48</v>
      </c>
      <c r="G26" s="9" t="s">
        <v>48</v>
      </c>
      <c r="H26" s="9" t="s">
        <v>48</v>
      </c>
      <c r="I26" s="9" t="s">
        <v>48</v>
      </c>
      <c r="J26" s="9" t="s">
        <v>48</v>
      </c>
      <c r="K26" s="9" t="s">
        <v>48</v>
      </c>
      <c r="L26" s="9" t="s">
        <v>48</v>
      </c>
      <c r="M26" s="9" t="s">
        <v>48</v>
      </c>
      <c r="N26" s="9" t="s">
        <v>48</v>
      </c>
      <c r="O26" s="9" t="s">
        <v>48</v>
      </c>
      <c r="P26" s="9" t="s">
        <v>48</v>
      </c>
      <c r="Q26" s="9" t="s">
        <v>48</v>
      </c>
      <c r="R26" s="9" t="s">
        <v>48</v>
      </c>
      <c r="S26" s="9" t="s">
        <v>48</v>
      </c>
      <c r="T26" s="9" t="s">
        <v>48</v>
      </c>
      <c r="U26" s="9" t="s">
        <v>48</v>
      </c>
      <c r="V26" s="9" t="s">
        <v>48</v>
      </c>
      <c r="W26" s="9" t="s">
        <v>48</v>
      </c>
      <c r="X26" s="9" t="s">
        <v>48</v>
      </c>
      <c r="Y26" s="9" t="s">
        <v>48</v>
      </c>
      <c r="Z26" s="9" t="s">
        <v>48</v>
      </c>
      <c r="AA26" s="9" t="s">
        <v>48</v>
      </c>
      <c r="AB26" s="9" t="s">
        <v>48</v>
      </c>
      <c r="AC26" s="9" t="s">
        <v>48</v>
      </c>
      <c r="AD26" s="9" t="s">
        <v>48</v>
      </c>
      <c r="AE26" s="9" t="s">
        <v>48</v>
      </c>
      <c r="AF26" s="9" t="s">
        <v>48</v>
      </c>
      <c r="AG26" s="9" t="s">
        <v>48</v>
      </c>
      <c r="AH26" s="9" t="s">
        <v>48</v>
      </c>
      <c r="AI26" s="9" t="s">
        <v>48</v>
      </c>
      <c r="AJ26" s="8" t="s">
        <v>49</v>
      </c>
      <c r="AK26" s="8" t="s">
        <v>49</v>
      </c>
      <c r="AL26" s="8" t="s">
        <v>49</v>
      </c>
      <c r="AM26" s="8" t="s">
        <v>49</v>
      </c>
      <c r="AN26" s="8" t="s">
        <v>49</v>
      </c>
      <c r="AO26" s="6">
        <f>COUNTA(D26:AN26)</f>
      </c>
      <c r="AP26" s="10">
        <f>ROUND((AO26/32)*100, 0)</f>
      </c>
      <c r="AQ26" s="8" t="s">
        <v>50</v>
      </c>
    </row>
    <row r="27" ht="20" customHeight="1" spans="1:43" x14ac:dyDescent="0.25">
      <c r="A27" s="4" t="s">
        <v>82</v>
      </c>
      <c r="B27" s="4" t="s">
        <v>77</v>
      </c>
      <c r="C27" s="4" t="s">
        <v>83</v>
      </c>
      <c r="D27" s="5" t="s">
        <v>48</v>
      </c>
      <c r="E27" s="5" t="s">
        <v>48</v>
      </c>
      <c r="F27" s="5" t="s">
        <v>48</v>
      </c>
      <c r="G27" s="5" t="s">
        <v>48</v>
      </c>
      <c r="H27" s="5" t="s">
        <v>48</v>
      </c>
      <c r="I27" s="5" t="s">
        <v>48</v>
      </c>
      <c r="J27" s="5" t="s">
        <v>48</v>
      </c>
      <c r="K27" s="5" t="s">
        <v>48</v>
      </c>
      <c r="L27" s="5" t="s">
        <v>48</v>
      </c>
      <c r="M27" s="5" t="s">
        <v>48</v>
      </c>
      <c r="N27" s="5" t="s">
        <v>48</v>
      </c>
      <c r="O27" s="5" t="s">
        <v>48</v>
      </c>
      <c r="P27" s="5" t="s">
        <v>48</v>
      </c>
      <c r="Q27" s="5" t="s">
        <v>48</v>
      </c>
      <c r="R27" s="5" t="s">
        <v>48</v>
      </c>
      <c r="S27" s="5" t="s">
        <v>48</v>
      </c>
      <c r="T27" s="5" t="s">
        <v>48</v>
      </c>
      <c r="U27" s="5" t="s">
        <v>48</v>
      </c>
      <c r="V27" s="5" t="s">
        <v>48</v>
      </c>
      <c r="W27" s="5" t="s">
        <v>48</v>
      </c>
      <c r="X27" s="5" t="s">
        <v>48</v>
      </c>
      <c r="Y27" s="5" t="s">
        <v>48</v>
      </c>
      <c r="Z27" s="5" t="s">
        <v>48</v>
      </c>
      <c r="AA27" s="5" t="s">
        <v>48</v>
      </c>
      <c r="AB27" s="5" t="s">
        <v>48</v>
      </c>
      <c r="AC27" s="5" t="s">
        <v>48</v>
      </c>
      <c r="AD27" s="5" t="s">
        <v>48</v>
      </c>
      <c r="AE27" s="5" t="s">
        <v>48</v>
      </c>
      <c r="AF27" s="5" t="s">
        <v>48</v>
      </c>
      <c r="AG27" s="5" t="s">
        <v>48</v>
      </c>
      <c r="AH27" s="5" t="s">
        <v>48</v>
      </c>
      <c r="AI27" s="5" t="s">
        <v>48</v>
      </c>
      <c r="AJ27" s="4" t="s">
        <v>49</v>
      </c>
      <c r="AK27" s="4" t="s">
        <v>49</v>
      </c>
      <c r="AL27" s="4" t="s">
        <v>49</v>
      </c>
      <c r="AM27" s="4" t="s">
        <v>49</v>
      </c>
      <c r="AN27" s="4" t="s">
        <v>49</v>
      </c>
      <c r="AO27" s="6">
        <f>COUNTA(D27:AN27)</f>
      </c>
      <c r="AP27" s="7">
        <f>ROUND((AO27/32)*100, 0)</f>
      </c>
      <c r="AQ27" s="4" t="s">
        <v>50</v>
      </c>
    </row>
    <row r="28" ht="20" customHeight="1" spans="1:43" x14ac:dyDescent="0.25">
      <c r="A28" s="8" t="s">
        <v>84</v>
      </c>
      <c r="B28" s="8" t="s">
        <v>77</v>
      </c>
      <c r="C28" s="8" t="s">
        <v>85</v>
      </c>
      <c r="D28" s="9" t="s">
        <v>48</v>
      </c>
      <c r="E28" s="9" t="s">
        <v>48</v>
      </c>
      <c r="F28" s="9" t="s">
        <v>48</v>
      </c>
      <c r="G28" s="9" t="s">
        <v>48</v>
      </c>
      <c r="H28" s="9" t="s">
        <v>48</v>
      </c>
      <c r="I28" s="9" t="s">
        <v>48</v>
      </c>
      <c r="J28" s="9" t="s">
        <v>48</v>
      </c>
      <c r="K28" s="9" t="s">
        <v>48</v>
      </c>
      <c r="L28" s="9" t="s">
        <v>48</v>
      </c>
      <c r="M28" s="9" t="s">
        <v>48</v>
      </c>
      <c r="N28" s="9" t="s">
        <v>48</v>
      </c>
      <c r="O28" s="9" t="s">
        <v>48</v>
      </c>
      <c r="P28" s="9" t="s">
        <v>48</v>
      </c>
      <c r="Q28" s="9" t="s">
        <v>48</v>
      </c>
      <c r="R28" s="9" t="s">
        <v>48</v>
      </c>
      <c r="S28" s="9" t="s">
        <v>48</v>
      </c>
      <c r="T28" s="9" t="s">
        <v>48</v>
      </c>
      <c r="U28" s="9" t="s">
        <v>48</v>
      </c>
      <c r="V28" s="9" t="s">
        <v>48</v>
      </c>
      <c r="W28" s="9" t="s">
        <v>48</v>
      </c>
      <c r="X28" s="9" t="s">
        <v>48</v>
      </c>
      <c r="Y28" s="9" t="s">
        <v>48</v>
      </c>
      <c r="Z28" s="9" t="s">
        <v>48</v>
      </c>
      <c r="AA28" s="9" t="s">
        <v>48</v>
      </c>
      <c r="AB28" s="9" t="s">
        <v>48</v>
      </c>
      <c r="AC28" s="9" t="s">
        <v>48</v>
      </c>
      <c r="AD28" s="9" t="s">
        <v>48</v>
      </c>
      <c r="AE28" s="9" t="s">
        <v>48</v>
      </c>
      <c r="AF28" s="9" t="s">
        <v>48</v>
      </c>
      <c r="AG28" s="9" t="s">
        <v>48</v>
      </c>
      <c r="AH28" s="9" t="s">
        <v>48</v>
      </c>
      <c r="AI28" s="9" t="s">
        <v>48</v>
      </c>
      <c r="AJ28" s="8" t="s">
        <v>49</v>
      </c>
      <c r="AK28" s="8" t="s">
        <v>49</v>
      </c>
      <c r="AL28" s="8" t="s">
        <v>49</v>
      </c>
      <c r="AM28" s="8" t="s">
        <v>49</v>
      </c>
      <c r="AN28" s="8" t="s">
        <v>49</v>
      </c>
      <c r="AO28" s="6">
        <f>COUNTA(D28:AN28)</f>
      </c>
      <c r="AP28" s="10">
        <f>ROUND((AO28/32)*100, 0)</f>
      </c>
      <c r="AQ28" s="8" t="s">
        <v>50</v>
      </c>
    </row>
    <row r="29" ht="20" customHeight="1" spans="1:43" x14ac:dyDescent="0.25">
      <c r="A29" s="4" t="s">
        <v>86</v>
      </c>
      <c r="B29" s="4" t="s">
        <v>77</v>
      </c>
      <c r="C29" s="4" t="s">
        <v>87</v>
      </c>
      <c r="D29" s="5" t="s">
        <v>48</v>
      </c>
      <c r="E29" s="5" t="s">
        <v>48</v>
      </c>
      <c r="F29" s="5" t="s">
        <v>48</v>
      </c>
      <c r="G29" s="5" t="s">
        <v>48</v>
      </c>
      <c r="H29" s="5" t="s">
        <v>48</v>
      </c>
      <c r="I29" s="5" t="s">
        <v>48</v>
      </c>
      <c r="J29" s="5" t="s">
        <v>48</v>
      </c>
      <c r="K29" s="5" t="s">
        <v>48</v>
      </c>
      <c r="L29" s="5" t="s">
        <v>48</v>
      </c>
      <c r="M29" s="5" t="s">
        <v>48</v>
      </c>
      <c r="N29" s="5" t="s">
        <v>48</v>
      </c>
      <c r="O29" s="5" t="s">
        <v>48</v>
      </c>
      <c r="P29" s="5" t="s">
        <v>48</v>
      </c>
      <c r="Q29" s="5" t="s">
        <v>48</v>
      </c>
      <c r="R29" s="5" t="s">
        <v>48</v>
      </c>
      <c r="S29" s="5" t="s">
        <v>48</v>
      </c>
      <c r="T29" s="5" t="s">
        <v>48</v>
      </c>
      <c r="U29" s="5" t="s">
        <v>48</v>
      </c>
      <c r="V29" s="5" t="s">
        <v>48</v>
      </c>
      <c r="W29" s="5" t="s">
        <v>48</v>
      </c>
      <c r="X29" s="5" t="s">
        <v>48</v>
      </c>
      <c r="Y29" s="5" t="s">
        <v>48</v>
      </c>
      <c r="Z29" s="5" t="s">
        <v>48</v>
      </c>
      <c r="AA29" s="5" t="s">
        <v>48</v>
      </c>
      <c r="AB29" s="5" t="s">
        <v>48</v>
      </c>
      <c r="AC29" s="5" t="s">
        <v>48</v>
      </c>
      <c r="AD29" s="5" t="s">
        <v>48</v>
      </c>
      <c r="AE29" s="5" t="s">
        <v>48</v>
      </c>
      <c r="AF29" s="5" t="s">
        <v>48</v>
      </c>
      <c r="AG29" s="5" t="s">
        <v>48</v>
      </c>
      <c r="AH29" s="5" t="s">
        <v>48</v>
      </c>
      <c r="AI29" s="5" t="s">
        <v>48</v>
      </c>
      <c r="AJ29" s="4" t="s">
        <v>49</v>
      </c>
      <c r="AK29" s="4" t="s">
        <v>49</v>
      </c>
      <c r="AL29" s="4" t="s">
        <v>49</v>
      </c>
      <c r="AM29" s="4" t="s">
        <v>49</v>
      </c>
      <c r="AN29" s="4" t="s">
        <v>49</v>
      </c>
      <c r="AO29" s="6">
        <f>COUNTA(D29:AN29)</f>
      </c>
      <c r="AP29" s="7">
        <f>ROUND((AO29/32)*100, 0)</f>
      </c>
      <c r="AQ29" s="4" t="s">
        <v>50</v>
      </c>
    </row>
    <row r="30" ht="24" customHeight="1" spans="1:43" x14ac:dyDescent="0.25">
      <c r="A30" s="11" t="s">
        <v>88</v>
      </c>
      <c r="B30" s="11" t="s">
        <v>89</v>
      </c>
      <c r="C30" s="11" t="s">
        <v>90</v>
      </c>
      <c r="D30" s="11">
        <f>COUNTA(D5:D29)</f>
      </c>
      <c r="E30" s="11">
        <f>COUNTA(E5:E29)</f>
      </c>
      <c r="F30" s="11">
        <f>COUNTA(F5:F29)</f>
      </c>
      <c r="G30" s="11">
        <f>COUNTA(G5:G29)</f>
      </c>
      <c r="H30" s="11">
        <f>COUNTA(H5:H29)</f>
      </c>
      <c r="I30" s="11">
        <f>COUNTA(I5:I29)</f>
      </c>
      <c r="J30" s="11">
        <f>COUNTA(J5:J29)</f>
      </c>
      <c r="K30" s="11">
        <f>COUNTA(K5:K29)</f>
      </c>
      <c r="L30" s="11">
        <f>COUNTA(L5:L29)</f>
      </c>
      <c r="M30" s="11">
        <f>COUNTA(M5:M29)</f>
      </c>
      <c r="N30" s="11">
        <f>COUNTA(N5:N29)</f>
      </c>
      <c r="O30" s="11">
        <f>COUNTA(O5:O29)</f>
      </c>
      <c r="P30" s="11">
        <f>COUNTA(P5:P29)</f>
      </c>
      <c r="Q30" s="11">
        <f>COUNTA(Q5:Q29)</f>
      </c>
      <c r="R30" s="11">
        <f>COUNTA(R5:R29)</f>
      </c>
      <c r="S30" s="11">
        <f>COUNTA(S5:S29)</f>
      </c>
      <c r="T30" s="11">
        <f>COUNTA(T5:T29)</f>
      </c>
      <c r="U30" s="11">
        <f>COUNTA(U5:U29)</f>
      </c>
      <c r="V30" s="11">
        <f>COUNTA(V5:V29)</f>
      </c>
      <c r="W30" s="11">
        <f>COUNTA(W5:W29)</f>
      </c>
      <c r="X30" s="11">
        <f>COUNTA(X5:X29)</f>
      </c>
      <c r="Y30" s="11">
        <f>COUNTA(Y5:Y29)</f>
      </c>
      <c r="Z30" s="11">
        <f>COUNTA(Z5:Z29)</f>
      </c>
      <c r="AA30" s="11">
        <f>COUNTA(AA5:AA29)</f>
      </c>
      <c r="AB30" s="11">
        <f>COUNTA(AB5:AB29)</f>
      </c>
      <c r="AC30" s="11">
        <f>COUNTA(AC5:AC29)</f>
      </c>
      <c r="AD30" s="11">
        <f>COUNTA(AD5:AD29)</f>
      </c>
      <c r="AE30" s="11">
        <f>COUNTA(AE5:AE29)</f>
      </c>
      <c r="AF30" s="11">
        <f>COUNTA(AF5:AF29)</f>
      </c>
      <c r="AG30" s="11">
        <f>COUNTA(AG5:AG29)</f>
      </c>
      <c r="AH30" s="11">
        <f>COUNTA(AH5:AH29)</f>
      </c>
      <c r="AI30" s="11">
        <f>COUNTA(AI5:AI29)</f>
      </c>
      <c r="AJ30" s="11">
        <f>COUNTA(AJ5:AJ29)</f>
      </c>
      <c r="AK30" s="11">
        <f>COUNTA(AK5:AK29)</f>
      </c>
      <c r="AL30" s="11">
        <f>COUNTA(AL5:AL29)</f>
      </c>
      <c r="AM30" s="11">
        <f>COUNTA(AM5:AM29)</f>
      </c>
      <c r="AN30" s="11">
        <f>COUNTA(AN5:AN29)</f>
      </c>
      <c r="AO30" s="11">
        <f>SUM(AO5:AO29)</f>
      </c>
      <c r="AP30" s="11">
        <f>AVERAGE(AP5:AP29)</f>
      </c>
      <c r="AQ30" s="11" t="s">
        <v>91</v>
      </c>
    </row>
  </sheetData>
  <mergeCells count="2">
    <mergeCell ref="A1:AS1"/>
    <mergeCell ref="A2:AS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8"/>
  <sheetViews>
    <sheetView workbookViewId="0" rightToLeft="1"/>
  </sheetViews>
  <sheetFormatPr defaultRowHeight="15" outlineLevelRow="0" outlineLevelCol="0" x14ac:dyDescent="55"/>
  <cols>
    <col min="1" max="1" width="11" customWidth="1"/>
    <col min="2" max="3" width="24" customWidth="1"/>
    <col min="4" max="4" width="10" customWidth="1"/>
    <col min="5" max="27" width="5.2" customWidth="1"/>
    <col min="28" max="29" width="14" customWidth="1"/>
    <col min="30" max="30" width="16" customWidth="1"/>
    <col min="31" max="31" width="14" customWidth="1"/>
    <col min="32" max="32" width="16" customWidth="1"/>
    <col min="33" max="33" width="18" customWidth="1"/>
  </cols>
  <sheetData>
    <row r="1" ht="30" customHeight="1" spans="1:35" x14ac:dyDescent="0.25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3" ht="140" customHeight="1" spans="1:33" x14ac:dyDescent="0.25">
      <c r="A3" s="3" t="s">
        <v>93</v>
      </c>
      <c r="B3" s="3" t="s">
        <v>94</v>
      </c>
      <c r="C3" s="3" t="s">
        <v>95</v>
      </c>
      <c r="D3" s="3" t="s">
        <v>96</v>
      </c>
      <c r="E3" s="3" t="s">
        <v>10</v>
      </c>
      <c r="F3" s="3" t="s">
        <v>11</v>
      </c>
      <c r="G3" s="3" t="s">
        <v>29</v>
      </c>
      <c r="H3" s="3" t="s">
        <v>30</v>
      </c>
      <c r="I3" s="3" t="s">
        <v>31</v>
      </c>
      <c r="J3" s="3" t="s">
        <v>12</v>
      </c>
      <c r="K3" s="3" t="s">
        <v>14</v>
      </c>
      <c r="L3" s="3" t="s">
        <v>97</v>
      </c>
      <c r="M3" s="3" t="s">
        <v>98</v>
      </c>
      <c r="N3" s="3" t="s">
        <v>99</v>
      </c>
      <c r="O3" s="3" t="s">
        <v>100</v>
      </c>
      <c r="P3" s="3" t="s">
        <v>101</v>
      </c>
      <c r="Q3" s="3" t="s">
        <v>102</v>
      </c>
      <c r="R3" s="3" t="s">
        <v>103</v>
      </c>
      <c r="S3" s="3" t="s">
        <v>104</v>
      </c>
      <c r="T3" s="3" t="s">
        <v>105</v>
      </c>
      <c r="U3" s="3" t="s">
        <v>106</v>
      </c>
      <c r="V3" s="3" t="s">
        <v>107</v>
      </c>
      <c r="W3" s="3" t="s">
        <v>108</v>
      </c>
      <c r="X3" s="3" t="s">
        <v>109</v>
      </c>
      <c r="Y3" s="3" t="s">
        <v>110</v>
      </c>
      <c r="Z3" s="3" t="s">
        <v>111</v>
      </c>
      <c r="AA3" s="3" t="s">
        <v>112</v>
      </c>
      <c r="AB3" s="3" t="s">
        <v>113</v>
      </c>
      <c r="AC3" s="3" t="s">
        <v>114</v>
      </c>
      <c r="AD3" s="3" t="s">
        <v>115</v>
      </c>
      <c r="AE3" s="3" t="s">
        <v>116</v>
      </c>
      <c r="AF3" s="3" t="s">
        <v>117</v>
      </c>
      <c r="AG3" s="3" t="s">
        <v>118</v>
      </c>
    </row>
    <row r="4" ht="22" customHeight="1" spans="1:33" x14ac:dyDescent="0.25">
      <c r="A4" s="12" t="s">
        <v>119</v>
      </c>
      <c r="B4" s="12" t="s">
        <v>120</v>
      </c>
      <c r="C4" s="12" t="s">
        <v>121</v>
      </c>
      <c r="D4" s="12" t="s">
        <v>122</v>
      </c>
      <c r="E4" s="4" t="s">
        <v>48</v>
      </c>
      <c r="F4" s="4" t="s">
        <v>48</v>
      </c>
      <c r="G4" s="4" t="s">
        <v>48</v>
      </c>
      <c r="H4" s="4" t="s">
        <v>48</v>
      </c>
      <c r="I4" s="4" t="s">
        <v>48</v>
      </c>
      <c r="J4" s="4" t="s">
        <v>48</v>
      </c>
      <c r="K4" s="4" t="s">
        <v>48</v>
      </c>
      <c r="L4" s="4" t="s">
        <v>48</v>
      </c>
      <c r="M4" s="4" t="s">
        <v>48</v>
      </c>
      <c r="N4" s="4" t="s">
        <v>48</v>
      </c>
      <c r="O4" s="4" t="s">
        <v>48</v>
      </c>
      <c r="P4" s="4" t="s">
        <v>48</v>
      </c>
      <c r="Q4" s="4" t="s">
        <v>48</v>
      </c>
      <c r="R4" s="4" t="s">
        <v>48</v>
      </c>
      <c r="S4" s="4" t="s">
        <v>48</v>
      </c>
      <c r="T4" s="4" t="s">
        <v>48</v>
      </c>
      <c r="U4" s="4" t="s">
        <v>48</v>
      </c>
      <c r="V4" s="4" t="s">
        <v>48</v>
      </c>
      <c r="W4" s="4" t="s">
        <v>48</v>
      </c>
      <c r="X4" s="4" t="s">
        <v>48</v>
      </c>
      <c r="Y4" s="4" t="s">
        <v>48</v>
      </c>
      <c r="Z4" s="4" t="s">
        <v>48</v>
      </c>
      <c r="AA4" s="4" t="s">
        <v>48</v>
      </c>
      <c r="AB4" s="4">
        <v>168</v>
      </c>
      <c r="AC4" s="4">
        <v>168</v>
      </c>
      <c r="AD4" s="13">
        <f>IF(AB5&gt;=AC5,"رصيد آمن 🟢","طلب شراء عاجل 🔴")</f>
      </c>
      <c r="AE4" s="14">
        <v>300</v>
      </c>
      <c r="AF4" s="14">
        <f>AB5*AE5</f>
      </c>
      <c r="AG4" s="4" t="s">
        <v>123</v>
      </c>
    </row>
    <row r="5" ht="22" customHeight="1" spans="1:33" x14ac:dyDescent="0.25">
      <c r="A5" s="15" t="s">
        <v>124</v>
      </c>
      <c r="B5" s="15" t="s">
        <v>125</v>
      </c>
      <c r="C5" s="15" t="s">
        <v>121</v>
      </c>
      <c r="D5" s="15" t="s">
        <v>126</v>
      </c>
      <c r="E5" s="8" t="s">
        <v>48</v>
      </c>
      <c r="F5" s="8" t="s">
        <v>48</v>
      </c>
      <c r="G5" s="8" t="s">
        <v>48</v>
      </c>
      <c r="H5" s="8" t="s">
        <v>48</v>
      </c>
      <c r="I5" s="8" t="s">
        <v>48</v>
      </c>
      <c r="J5" s="8" t="s">
        <v>48</v>
      </c>
      <c r="K5" s="8" t="s">
        <v>48</v>
      </c>
      <c r="L5" s="8" t="s">
        <v>48</v>
      </c>
      <c r="M5" s="8" t="s">
        <v>48</v>
      </c>
      <c r="N5" s="8" t="s">
        <v>48</v>
      </c>
      <c r="O5" s="8" t="s">
        <v>48</v>
      </c>
      <c r="P5" s="8" t="s">
        <v>48</v>
      </c>
      <c r="Q5" s="8" t="s">
        <v>48</v>
      </c>
      <c r="R5" s="8" t="s">
        <v>48</v>
      </c>
      <c r="S5" s="8" t="s">
        <v>48</v>
      </c>
      <c r="T5" s="8" t="s">
        <v>48</v>
      </c>
      <c r="U5" s="8" t="s">
        <v>48</v>
      </c>
      <c r="V5" s="8" t="s">
        <v>48</v>
      </c>
      <c r="W5" s="8" t="s">
        <v>48</v>
      </c>
      <c r="X5" s="8" t="s">
        <v>48</v>
      </c>
      <c r="Y5" s="8" t="s">
        <v>48</v>
      </c>
      <c r="Z5" s="8" t="s">
        <v>48</v>
      </c>
      <c r="AA5" s="8" t="s">
        <v>48</v>
      </c>
      <c r="AB5" s="8">
        <v>250</v>
      </c>
      <c r="AC5" s="8">
        <v>250</v>
      </c>
      <c r="AD5" s="16">
        <f>IF(AB6&gt;=AC6,"رصيد آمن 🟢","طلب شراء عاجل 🔴")</f>
      </c>
      <c r="AE5" s="17">
        <v>180</v>
      </c>
      <c r="AF5" s="17">
        <f>AB6*AE6</f>
      </c>
      <c r="AG5" s="8" t="s">
        <v>123</v>
      </c>
    </row>
    <row r="6" ht="22" customHeight="1" spans="1:33" x14ac:dyDescent="0.25">
      <c r="A6" s="12" t="s">
        <v>127</v>
      </c>
      <c r="B6" s="12" t="s">
        <v>128</v>
      </c>
      <c r="C6" s="12" t="s">
        <v>129</v>
      </c>
      <c r="D6" s="12" t="s">
        <v>130</v>
      </c>
      <c r="E6" s="4" t="s">
        <v>48</v>
      </c>
      <c r="F6" s="4" t="s">
        <v>48</v>
      </c>
      <c r="G6" s="4" t="s">
        <v>48</v>
      </c>
      <c r="H6" s="4" t="s">
        <v>48</v>
      </c>
      <c r="I6" s="4" t="s">
        <v>48</v>
      </c>
      <c r="J6" s="4" t="s">
        <v>48</v>
      </c>
      <c r="K6" s="4" t="s">
        <v>48</v>
      </c>
      <c r="L6" s="4" t="s">
        <v>48</v>
      </c>
      <c r="M6" s="4" t="s">
        <v>48</v>
      </c>
      <c r="N6" s="4" t="s">
        <v>48</v>
      </c>
      <c r="O6" s="4" t="s">
        <v>48</v>
      </c>
      <c r="P6" s="4" t="s">
        <v>48</v>
      </c>
      <c r="Q6" s="4" t="s">
        <v>48</v>
      </c>
      <c r="R6" s="4" t="s">
        <v>48</v>
      </c>
      <c r="S6" s="4" t="s">
        <v>48</v>
      </c>
      <c r="T6" s="4" t="s">
        <v>48</v>
      </c>
      <c r="U6" s="4" t="s">
        <v>48</v>
      </c>
      <c r="V6" s="4" t="s">
        <v>48</v>
      </c>
      <c r="W6" s="4" t="s">
        <v>48</v>
      </c>
      <c r="X6" s="4" t="s">
        <v>48</v>
      </c>
      <c r="Y6" s="4" t="s">
        <v>48</v>
      </c>
      <c r="Z6" s="4" t="s">
        <v>48</v>
      </c>
      <c r="AA6" s="4" t="s">
        <v>48</v>
      </c>
      <c r="AB6" s="4">
        <v>12</v>
      </c>
      <c r="AC6" s="4">
        <v>10</v>
      </c>
      <c r="AD6" s="13">
        <f>IF(AB7&gt;=AC7,"رصيد آمن 🟢","طلب شراء عاجل 🔴")</f>
      </c>
      <c r="AE6" s="14">
        <v>650</v>
      </c>
      <c r="AF6" s="14">
        <f>AB7*AE7</f>
      </c>
      <c r="AG6" s="4" t="s">
        <v>123</v>
      </c>
    </row>
    <row r="7" ht="22" customHeight="1" spans="1:33" x14ac:dyDescent="0.25">
      <c r="A7" s="15" t="s">
        <v>131</v>
      </c>
      <c r="B7" s="15" t="s">
        <v>132</v>
      </c>
      <c r="C7" s="15" t="s">
        <v>129</v>
      </c>
      <c r="D7" s="15" t="s">
        <v>130</v>
      </c>
      <c r="E7" s="8" t="s">
        <v>48</v>
      </c>
      <c r="F7" s="8" t="s">
        <v>48</v>
      </c>
      <c r="G7" s="8" t="s">
        <v>48</v>
      </c>
      <c r="H7" s="8" t="s">
        <v>48</v>
      </c>
      <c r="I7" s="8" t="s">
        <v>48</v>
      </c>
      <c r="J7" s="8" t="s">
        <v>48</v>
      </c>
      <c r="K7" s="8" t="s">
        <v>48</v>
      </c>
      <c r="L7" s="8" t="s">
        <v>48</v>
      </c>
      <c r="M7" s="8" t="s">
        <v>48</v>
      </c>
      <c r="N7" s="8" t="s">
        <v>48</v>
      </c>
      <c r="O7" s="8" t="s">
        <v>48</v>
      </c>
      <c r="P7" s="8" t="s">
        <v>48</v>
      </c>
      <c r="Q7" s="8" t="s">
        <v>48</v>
      </c>
      <c r="R7" s="8" t="s">
        <v>48</v>
      </c>
      <c r="S7" s="8" t="s">
        <v>48</v>
      </c>
      <c r="T7" s="8" t="s">
        <v>48</v>
      </c>
      <c r="U7" s="8" t="s">
        <v>48</v>
      </c>
      <c r="V7" s="8" t="s">
        <v>48</v>
      </c>
      <c r="W7" s="8" t="s">
        <v>48</v>
      </c>
      <c r="X7" s="8" t="s">
        <v>48</v>
      </c>
      <c r="Y7" s="8" t="s">
        <v>48</v>
      </c>
      <c r="Z7" s="8" t="s">
        <v>48</v>
      </c>
      <c r="AA7" s="8" t="s">
        <v>48</v>
      </c>
      <c r="AB7" s="8">
        <v>15</v>
      </c>
      <c r="AC7" s="8">
        <v>8</v>
      </c>
      <c r="AD7" s="16">
        <f>IF(AB8&gt;=AC8,"رصيد آمن 🟢","طلب شراء عاجل 🔴")</f>
      </c>
      <c r="AE7" s="17">
        <v>400</v>
      </c>
      <c r="AF7" s="17">
        <f>AB8*AE8</f>
      </c>
      <c r="AG7" s="8" t="s">
        <v>123</v>
      </c>
    </row>
    <row r="8" ht="22" customHeight="1" spans="1:33" x14ac:dyDescent="0.25">
      <c r="A8" s="12" t="s">
        <v>133</v>
      </c>
      <c r="B8" s="12" t="s">
        <v>134</v>
      </c>
      <c r="C8" s="12" t="s">
        <v>135</v>
      </c>
      <c r="D8" s="12" t="s">
        <v>136</v>
      </c>
      <c r="E8" s="4" t="s">
        <v>48</v>
      </c>
      <c r="F8" s="4" t="s">
        <v>48</v>
      </c>
      <c r="G8" s="4" t="s">
        <v>48</v>
      </c>
      <c r="H8" s="4" t="s">
        <v>48</v>
      </c>
      <c r="I8" s="4" t="s">
        <v>48</v>
      </c>
      <c r="J8" s="4" t="s">
        <v>48</v>
      </c>
      <c r="K8" s="4" t="s">
        <v>48</v>
      </c>
      <c r="L8" s="4" t="s">
        <v>48</v>
      </c>
      <c r="M8" s="4" t="s">
        <v>48</v>
      </c>
      <c r="N8" s="4" t="s">
        <v>48</v>
      </c>
      <c r="O8" s="4" t="s">
        <v>48</v>
      </c>
      <c r="P8" s="4" t="s">
        <v>48</v>
      </c>
      <c r="Q8" s="4" t="s">
        <v>48</v>
      </c>
      <c r="R8" s="4" t="s">
        <v>48</v>
      </c>
      <c r="S8" s="4" t="s">
        <v>48</v>
      </c>
      <c r="T8" s="4" t="s">
        <v>48</v>
      </c>
      <c r="U8" s="4" t="s">
        <v>48</v>
      </c>
      <c r="V8" s="4" t="s">
        <v>48</v>
      </c>
      <c r="W8" s="4" t="s">
        <v>48</v>
      </c>
      <c r="X8" s="4" t="s">
        <v>48</v>
      </c>
      <c r="Y8" s="4" t="s">
        <v>48</v>
      </c>
      <c r="Z8" s="4" t="s">
        <v>48</v>
      </c>
      <c r="AA8" s="4" t="s">
        <v>48</v>
      </c>
      <c r="AB8" s="4">
        <v>14</v>
      </c>
      <c r="AC8" s="4">
        <v>8</v>
      </c>
      <c r="AD8" s="13">
        <f>IF(AB9&gt;=AC9,"رصيد آمن 🟢","طلب شراء عاجل 🔴")</f>
      </c>
      <c r="AE8" s="14">
        <v>280</v>
      </c>
      <c r="AF8" s="14">
        <f>AB9*AE9</f>
      </c>
      <c r="AG8" s="4" t="s">
        <v>123</v>
      </c>
    </row>
  </sheetData>
  <mergeCells count="1">
    <mergeCell ref="A1:AI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جرد الغرف (علامة صح)</vt:lpstr>
      <vt:lpstr>جرد وتجميع المخازن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Henu Hotel Matrix Inventory</dc:creator>
  <dc:title/>
  <dc:subject/>
  <dc:description/>
  <cp:keywords/>
  <cp:category/>
  <cp:lastModifiedBy>Unknown</cp:lastModifiedBy>
  <dcterms:created xsi:type="dcterms:W3CDTF">2026-08-15T12:09:28Z</dcterms:created>
  <dcterms:modified xsi:type="dcterms:W3CDTF">2026-08-15T12:09:28Z</dcterms:modified>
</cp:coreProperties>
</file>