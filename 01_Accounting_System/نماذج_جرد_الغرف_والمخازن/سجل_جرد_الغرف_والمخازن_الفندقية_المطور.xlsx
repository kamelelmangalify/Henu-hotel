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/>
  <xr:revisionPtr revIDLastSave="0" documentId="13_ncr:1_{21F6FAE8-4E50-4DCF-8EA8-A31ADD5F540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جرد الغرف (علامة صح)" sheetId="1" r:id="rId1"/>
    <sheet name="جرد وتجميع المخازن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8" i="2" l="1"/>
  <c r="AD8" i="2"/>
  <c r="AF7" i="2"/>
  <c r="AD7" i="2"/>
  <c r="AF6" i="2"/>
  <c r="AD6" i="2"/>
  <c r="AF5" i="2"/>
  <c r="AD5" i="2"/>
  <c r="AF4" i="2"/>
  <c r="AD4" i="2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P29" i="1"/>
  <c r="AO29" i="1"/>
  <c r="AO28" i="1"/>
  <c r="AP28" i="1" s="1"/>
  <c r="AO27" i="1"/>
  <c r="AP27" i="1" s="1"/>
  <c r="AO26" i="1"/>
  <c r="AP26" i="1" s="1"/>
  <c r="AO25" i="1"/>
  <c r="AP25" i="1" s="1"/>
  <c r="AO24" i="1"/>
  <c r="AP24" i="1" s="1"/>
  <c r="AO23" i="1"/>
  <c r="AP23" i="1" s="1"/>
  <c r="AO22" i="1"/>
  <c r="AP22" i="1" s="1"/>
  <c r="AO21" i="1"/>
  <c r="AP21" i="1" s="1"/>
  <c r="AO20" i="1"/>
  <c r="AP20" i="1" s="1"/>
  <c r="AO19" i="1"/>
  <c r="AP19" i="1" s="1"/>
  <c r="AO18" i="1"/>
  <c r="AP18" i="1" s="1"/>
  <c r="AO17" i="1"/>
  <c r="AP17" i="1" s="1"/>
  <c r="AO16" i="1"/>
  <c r="AP16" i="1" s="1"/>
  <c r="AO15" i="1"/>
  <c r="AP15" i="1" s="1"/>
  <c r="AO14" i="1"/>
  <c r="AP14" i="1" s="1"/>
  <c r="AO13" i="1"/>
  <c r="AP13" i="1" s="1"/>
  <c r="AO12" i="1"/>
  <c r="AP12" i="1" s="1"/>
  <c r="AO11" i="1"/>
  <c r="AP11" i="1" s="1"/>
  <c r="AO10" i="1"/>
  <c r="AP10" i="1" s="1"/>
  <c r="AO9" i="1"/>
  <c r="AP9" i="1" s="1"/>
  <c r="AO8" i="1"/>
  <c r="AP8" i="1" s="1"/>
  <c r="AO7" i="1"/>
  <c r="AP7" i="1" s="1"/>
  <c r="AO6" i="1"/>
  <c r="AP6" i="1" s="1"/>
  <c r="AO5" i="1"/>
  <c r="AP5" i="1" s="1"/>
  <c r="AO30" i="1" l="1"/>
  <c r="AP30" i="1"/>
</calcChain>
</file>

<file path=xl/sharedStrings.xml><?xml version="1.0" encoding="utf-8"?>
<sst xmlns="http://schemas.openxmlformats.org/spreadsheetml/2006/main" count="424" uniqueCount="137">
  <si>
    <t>🏨 فندق هينو الأهرامات — كشف ورسومات جرد مشتملات وأثاث الغرف الـ 25 (جدول خانات الصح والتجميع)</t>
  </si>
  <si>
    <t>تعليمات للجرد: يضع عامل/مشرفة الإشراف الداخلي علامة صح (✓) أمام كل صنف موجود وسليم بالغرفة ، وفي نهاية الجدول يتم حساب الإجمالي التلقائي.</t>
  </si>
  <si>
    <t>رقم الغرفة</t>
  </si>
  <si>
    <t>الدور / الطابق</t>
  </si>
  <si>
    <t>نوع الغرفة</t>
  </si>
  <si>
    <t>سرير كينج 180×200</t>
  </si>
  <si>
    <t>سرير سينجل 120×200</t>
  </si>
  <si>
    <t>مرتبة كينج 180×200</t>
  </si>
  <si>
    <t>مرتبة سينجل 120×200</t>
  </si>
  <si>
    <t>واقي مرتبة ضد الماء</t>
  </si>
  <si>
    <t>ملاية سرير كبير</t>
  </si>
  <si>
    <t>ملاية سرير صغير</t>
  </si>
  <si>
    <t>كيس مخدة فندقي</t>
  </si>
  <si>
    <t>مخدة فندقية ناعمة</t>
  </si>
  <si>
    <t>لحاف فندقي / كوفرتة</t>
  </si>
  <si>
    <t>شاشة سمارت 32 بوصة</t>
  </si>
  <si>
    <t>رسيفر وقنوات فضائية</t>
  </si>
  <si>
    <t>ريموت شاشة + رسيفر</t>
  </si>
  <si>
    <t>تكييف 1.5/2.25 حصان</t>
  </si>
  <si>
    <t>ريموت تكييف</t>
  </si>
  <si>
    <t>ثلاجة ميني بار 4.5 قدم</t>
  </si>
  <si>
    <t>غلاية مياه كهربائية</t>
  </si>
  <si>
    <t>طقم أكواب وكوفيشوب</t>
  </si>
  <si>
    <t>دولاب ملابس + 10 شماعات</t>
  </si>
  <si>
    <t>تسريحة / مكتب + كرسي</t>
  </si>
  <si>
    <t>كمودينو + أبجورة إضاءة</t>
  </si>
  <si>
    <t>مرآة فندقية تكبير</t>
  </si>
  <si>
    <t>ستائر بلاك آوت (Blackout)</t>
  </si>
  <si>
    <t>استشوار شعر (Hair Dryer)</t>
  </si>
  <si>
    <t>بشكير حمام كبير</t>
  </si>
  <si>
    <t>فوطة وجه ويدين</t>
  </si>
  <si>
    <t>مشاية حمام قطن</t>
  </si>
  <si>
    <t>سلة مهملات بالبدال</t>
  </si>
  <si>
    <t>ستارة دش حمام</t>
  </si>
  <si>
    <t>خزينة إلكترونية Safe Box</t>
  </si>
  <si>
    <t>حامل أمتعة خشبي</t>
  </si>
  <si>
    <t>لوحة فرعونية / ديكور</t>
  </si>
  <si>
    <t>صنف إضافي 1 (فارغ)</t>
  </si>
  <si>
    <t>صنف إضافي 2 (فارغ)</t>
  </si>
  <si>
    <t>صنف إضافي 3 (فارغ)</t>
  </si>
  <si>
    <t>صنف إضافي 4 (فارغ)</t>
  </si>
  <si>
    <t>صنف إضافي 5 (فارغ)</t>
  </si>
  <si>
    <t>إجمالي الأصناف الفعلية (✓)</t>
  </si>
  <si>
    <t>نسبة الاكتمال %</t>
  </si>
  <si>
    <t>ملاحظات الإشراف</t>
  </si>
  <si>
    <t>101</t>
  </si>
  <si>
    <t>الأول</t>
  </si>
  <si>
    <t>مزدوجة</t>
  </si>
  <si>
    <t>✓</t>
  </si>
  <si>
    <t/>
  </si>
  <si>
    <t>102</t>
  </si>
  <si>
    <t>ثلاثية</t>
  </si>
  <si>
    <t>103</t>
  </si>
  <si>
    <t>مفردة</t>
  </si>
  <si>
    <t>104</t>
  </si>
  <si>
    <t>105</t>
  </si>
  <si>
    <t>106</t>
  </si>
  <si>
    <t>201</t>
  </si>
  <si>
    <t>الثاني</t>
  </si>
  <si>
    <t>ديلوكس أهرامات</t>
  </si>
  <si>
    <t>202</t>
  </si>
  <si>
    <t>203</t>
  </si>
  <si>
    <t>204</t>
  </si>
  <si>
    <t>205</t>
  </si>
  <si>
    <t>ثلاثية عائلية</t>
  </si>
  <si>
    <t>206</t>
  </si>
  <si>
    <t>207</t>
  </si>
  <si>
    <t>301</t>
  </si>
  <si>
    <t>الثالث</t>
  </si>
  <si>
    <t>جناح أهرامات</t>
  </si>
  <si>
    <t>302</t>
  </si>
  <si>
    <t>303</t>
  </si>
  <si>
    <t>304</t>
  </si>
  <si>
    <t>305</t>
  </si>
  <si>
    <t>306</t>
  </si>
  <si>
    <t>401</t>
  </si>
  <si>
    <t>الروف</t>
  </si>
  <si>
    <t>جناح الروف الملكي</t>
  </si>
  <si>
    <t>402</t>
  </si>
  <si>
    <t>روف أهرامات</t>
  </si>
  <si>
    <t>403</t>
  </si>
  <si>
    <t>404</t>
  </si>
  <si>
    <t>ثلاثية روف</t>
  </si>
  <si>
    <t>405</t>
  </si>
  <si>
    <t>مفردة روف</t>
  </si>
  <si>
    <t>406</t>
  </si>
  <si>
    <t>مزدوجة روف</t>
  </si>
  <si>
    <t>إجمالي التجميع الفندقي</t>
  </si>
  <si>
    <t>25 غرفة</t>
  </si>
  <si>
    <t>الموجود الإجمالي</t>
  </si>
  <si>
    <t>التقرير النهائي</t>
  </si>
  <si>
    <t>📦 فندق هينو الأهرامات — سجل جرد ورصيد المخازن العمودي والشامل (Store Inventory Matrix)</t>
  </si>
  <si>
    <t>كود الصنف</t>
  </si>
  <si>
    <t>اسم الصنف الفندقي</t>
  </si>
  <si>
    <t>المخزن التابع له</t>
  </si>
  <si>
    <t>وحدة القياس</t>
  </si>
  <si>
    <t>شامبو فندقي 30 مل</t>
  </si>
  <si>
    <t>شاور جيل 30 مل</t>
  </si>
  <si>
    <t>صابون معطر 20 جم</t>
  </si>
  <si>
    <t>أطقم شاي وقهوة</t>
  </si>
  <si>
    <t>سكر وظروف كوفيشوب</t>
  </si>
  <si>
    <t>لمبات ليد 9 واط</t>
  </si>
  <si>
    <t>بطاريات ريموت تكييف</t>
  </si>
  <si>
    <t>أقفال أبواب ومفصلات</t>
  </si>
  <si>
    <t>أكواب وزجاجات مياه</t>
  </si>
  <si>
    <t>أكياس قمامة بالبدال</t>
  </si>
  <si>
    <t>مطهرات ومعطرات جو</t>
  </si>
  <si>
    <t>صنف مخزن 1 (فارغ)</t>
  </si>
  <si>
    <t>صنف مخزن 2 (فارغ)</t>
  </si>
  <si>
    <t>صنف مخزن 3 (فارغ)</t>
  </si>
  <si>
    <t>صنف مخزن 4 (فارغ)</t>
  </si>
  <si>
    <t>صنف مخزن 5 (فارغ)</t>
  </si>
  <si>
    <t>الرصيد الفعلي الحالي</t>
  </si>
  <si>
    <t>حد الأمان (Par Level)</t>
  </si>
  <si>
    <t>حالة التوريد والطلب</t>
  </si>
  <si>
    <t>سعر الوحدة التقديري</t>
  </si>
  <si>
    <t>إجمالي قيمة المخزون</t>
  </si>
  <si>
    <t>ملاحظات وتوجيهات الشراء</t>
  </si>
  <si>
    <t>LIN-01</t>
  </si>
  <si>
    <t>ملايات وسراير كبير وصغير</t>
  </si>
  <si>
    <t>مخزن المفروشات والكتانيات</t>
  </si>
  <si>
    <t>طقم</t>
  </si>
  <si>
    <t>مكتمل الجرد</t>
  </si>
  <si>
    <t>LIN-02</t>
  </si>
  <si>
    <t>بشاكير وفوط ومشايات حمام</t>
  </si>
  <si>
    <t>قطعة</t>
  </si>
  <si>
    <t>AMN-01</t>
  </si>
  <si>
    <t>شامبو وشاور صابون ضيافة</t>
  </si>
  <si>
    <t>مخزن الضيافة والـ Amenities</t>
  </si>
  <si>
    <t>كرتونة</t>
  </si>
  <si>
    <t>AMN-02</t>
  </si>
  <si>
    <t>أطقم كوفيشوب وسكر ومياه</t>
  </si>
  <si>
    <t>MNT-01</t>
  </si>
  <si>
    <t>قطع غيار كهرباء ولمبات وبطاريات</t>
  </si>
  <si>
    <t>مخزن الصيانة والخدمات</t>
  </si>
  <si>
    <t>علبة</t>
  </si>
  <si>
    <t xml:space="preserve">التاريخ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</si>
</sst>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&quot;%&quot;"/>
    <numFmt numFmtId="165" formatCode="#,##0&quot; جـ&quot;"/>
  </numFmts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9.5"/>
      <color rgb="FF1F4E78"/>
      <name val="Arial"/>
    </font>
    <font>
      <b/>
      <sz val="9"/>
      <color rgb="FFFFFFFF"/>
      <name val="Arial"/>
    </font>
    <font>
      <sz val="9"/>
      <name val="Arial"/>
    </font>
    <font>
      <b/>
      <sz val="9.5"/>
      <color rgb="FF276749"/>
      <name val="Arial"/>
    </font>
    <font>
      <b/>
      <sz val="9"/>
      <color rgb="FF1F4E78"/>
      <name val="Arial"/>
    </font>
    <font>
      <b/>
      <sz val="9"/>
      <name val="Arial"/>
    </font>
    <font>
      <b/>
      <sz val="14"/>
      <color rgb="FFFFFFFF"/>
      <name val="Arial"/>
      <family val="2"/>
    </font>
    <font>
      <sz val="14"/>
      <name val="Arial"/>
      <family val="2"/>
    </font>
    <font>
      <b/>
      <sz val="14"/>
      <color rgb="FF276749"/>
      <name val="Arial"/>
      <family val="2"/>
    </font>
    <font>
      <b/>
      <sz val="14"/>
      <color rgb="FF1F4E78"/>
      <name val="Arial"/>
      <family val="2"/>
    </font>
    <font>
      <sz val="14"/>
      <color theme="1"/>
      <name val="Calibri"/>
      <family val="2"/>
      <scheme val="minor"/>
    </font>
    <font>
      <b/>
      <sz val="11"/>
      <color rgb="FFFFFFFF"/>
      <name val="Arial"/>
      <family val="2"/>
    </font>
    <font>
      <b/>
      <sz val="1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4F8"/>
      </patternFill>
    </fill>
    <fill>
      <patternFill patternType="solid">
        <fgColor rgb="FF2F5597"/>
      </patternFill>
    </fill>
    <fill>
      <patternFill patternType="solid">
        <fgColor rgb="FFF9FAFB"/>
      </patternFill>
    </fill>
    <fill>
      <patternFill patternType="solid">
        <fgColor rgb="FFEBF8FF"/>
      </patternFill>
    </fill>
    <fill>
      <patternFill patternType="solid">
        <fgColor rgb="FFFFFFFF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double">
        <color rgb="FF1F4E78"/>
      </top>
      <bottom style="double">
        <color rgb="FF1F4E78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4" borderId="1" xfId="0" applyFont="1" applyFill="1" applyBorder="1" applyAlignment="1">
      <alignment horizontal="center" textRotation="90"/>
    </xf>
    <xf numFmtId="0" fontId="4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164" fontId="5" fillId="5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164" fontId="5" fillId="7" borderId="2" xfId="0" applyNumberFormat="1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right" vertical="center"/>
    </xf>
    <xf numFmtId="0" fontId="7" fillId="5" borderId="2" xfId="0" applyFont="1" applyFill="1" applyBorder="1" applyAlignment="1">
      <alignment horizontal="center" vertical="center"/>
    </xf>
    <xf numFmtId="165" fontId="4" fillId="5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right" vertical="center"/>
    </xf>
    <xf numFmtId="0" fontId="7" fillId="7" borderId="2" xfId="0" applyFont="1" applyFill="1" applyBorder="1" applyAlignment="1">
      <alignment horizontal="center" vertical="center"/>
    </xf>
    <xf numFmtId="165" fontId="4" fillId="7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center" textRotation="90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/>
    </xf>
    <xf numFmtId="0" fontId="11" fillId="8" borderId="3" xfId="0" applyFont="1" applyFill="1" applyBorder="1" applyAlignment="1">
      <alignment horizontal="center" vertical="center"/>
    </xf>
    <xf numFmtId="0" fontId="12" fillId="0" borderId="0" xfId="0" applyFont="1"/>
    <xf numFmtId="0" fontId="13" fillId="4" borderId="1" xfId="0" applyFont="1" applyFill="1" applyBorder="1" applyAlignment="1">
      <alignment horizontal="center" textRotation="90"/>
    </xf>
    <xf numFmtId="0" fontId="14" fillId="2" borderId="0" xfId="0" applyFont="1" applyFill="1" applyAlignment="1">
      <alignment horizontal="center" vertical="center"/>
    </xf>
    <xf numFmtId="0" fontId="12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Q30"/>
  <sheetViews>
    <sheetView rightToLeft="1" tabSelected="1" topLeftCell="M1" zoomScale="40" zoomScaleNormal="40" workbookViewId="0">
      <selection activeCell="F5" activeCellId="1" sqref="A3:AQ3 F5"/>
    </sheetView>
  </sheetViews>
  <sheetFormatPr defaultRowHeight="18.5" x14ac:dyDescent="0.45"/>
  <cols>
    <col min="1" max="40" width="22.81640625" style="22" customWidth="1"/>
    <col min="41" max="41" width="12" customWidth="1"/>
    <col min="42" max="42" width="10" customWidth="1"/>
    <col min="43" max="43" width="16" customWidth="1"/>
  </cols>
  <sheetData>
    <row r="1" spans="1:43" ht="37" customHeight="1" x14ac:dyDescent="0.35">
      <c r="A1" s="24" t="s">
        <v>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</row>
    <row r="2" spans="1:43" ht="22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</row>
    <row r="3" spans="1:43" x14ac:dyDescent="0.45">
      <c r="A3" s="25" t="s">
        <v>136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</row>
    <row r="4" spans="1:43" ht="123.5" customHeight="1" x14ac:dyDescent="0.35">
      <c r="A4" s="16" t="s">
        <v>2</v>
      </c>
      <c r="B4" s="16" t="s">
        <v>3</v>
      </c>
      <c r="C4" s="16" t="s">
        <v>4</v>
      </c>
      <c r="D4" s="16" t="s">
        <v>5</v>
      </c>
      <c r="E4" s="16" t="s">
        <v>6</v>
      </c>
      <c r="F4" s="16" t="s">
        <v>7</v>
      </c>
      <c r="G4" s="16" t="s">
        <v>8</v>
      </c>
      <c r="H4" s="16" t="s">
        <v>9</v>
      </c>
      <c r="I4" s="16" t="s">
        <v>10</v>
      </c>
      <c r="J4" s="16" t="s">
        <v>11</v>
      </c>
      <c r="K4" s="16" t="s">
        <v>12</v>
      </c>
      <c r="L4" s="16" t="s">
        <v>13</v>
      </c>
      <c r="M4" s="16" t="s">
        <v>14</v>
      </c>
      <c r="N4" s="16" t="s">
        <v>15</v>
      </c>
      <c r="O4" s="16" t="s">
        <v>16</v>
      </c>
      <c r="P4" s="16" t="s">
        <v>17</v>
      </c>
      <c r="Q4" s="16" t="s">
        <v>18</v>
      </c>
      <c r="R4" s="16" t="s">
        <v>19</v>
      </c>
      <c r="S4" s="16" t="s">
        <v>20</v>
      </c>
      <c r="T4" s="16" t="s">
        <v>21</v>
      </c>
      <c r="U4" s="16" t="s">
        <v>22</v>
      </c>
      <c r="V4" s="16" t="s">
        <v>23</v>
      </c>
      <c r="W4" s="16" t="s">
        <v>24</v>
      </c>
      <c r="X4" s="16" t="s">
        <v>25</v>
      </c>
      <c r="Y4" s="16" t="s">
        <v>26</v>
      </c>
      <c r="Z4" s="16" t="s">
        <v>27</v>
      </c>
      <c r="AA4" s="16" t="s">
        <v>28</v>
      </c>
      <c r="AB4" s="16" t="s">
        <v>29</v>
      </c>
      <c r="AC4" s="16" t="s">
        <v>30</v>
      </c>
      <c r="AD4" s="16" t="s">
        <v>31</v>
      </c>
      <c r="AE4" s="16" t="s">
        <v>32</v>
      </c>
      <c r="AF4" s="16" t="s">
        <v>33</v>
      </c>
      <c r="AG4" s="16" t="s">
        <v>34</v>
      </c>
      <c r="AH4" s="16" t="s">
        <v>35</v>
      </c>
      <c r="AI4" s="16" t="s">
        <v>36</v>
      </c>
      <c r="AJ4" s="16" t="s">
        <v>37</v>
      </c>
      <c r="AK4" s="16" t="s">
        <v>38</v>
      </c>
      <c r="AL4" s="16" t="s">
        <v>39</v>
      </c>
      <c r="AM4" s="16" t="s">
        <v>40</v>
      </c>
      <c r="AN4" s="16" t="s">
        <v>41</v>
      </c>
      <c r="AO4" s="23" t="s">
        <v>42</v>
      </c>
      <c r="AP4" s="23" t="s">
        <v>43</v>
      </c>
      <c r="AQ4" s="23" t="s">
        <v>44</v>
      </c>
    </row>
    <row r="5" spans="1:43" ht="123.5" customHeight="1" x14ac:dyDescent="0.35">
      <c r="A5" s="17" t="s">
        <v>45</v>
      </c>
      <c r="B5" s="17" t="s">
        <v>46</v>
      </c>
      <c r="C5" s="17" t="s">
        <v>47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7" t="s">
        <v>49</v>
      </c>
      <c r="AK5" s="17" t="s">
        <v>49</v>
      </c>
      <c r="AL5" s="17" t="s">
        <v>49</v>
      </c>
      <c r="AM5" s="17" t="s">
        <v>49</v>
      </c>
      <c r="AN5" s="17" t="s">
        <v>49</v>
      </c>
      <c r="AO5" s="3">
        <f t="shared" ref="AO5:AO29" si="0">COUNTA(D5:AN5)</f>
        <v>5</v>
      </c>
      <c r="AP5" s="4">
        <f t="shared" ref="AP5:AP29" si="1">ROUND((AO5/32)*100, 0)</f>
        <v>16</v>
      </c>
      <c r="AQ5" s="2"/>
    </row>
    <row r="6" spans="1:43" ht="123.5" customHeight="1" x14ac:dyDescent="0.35">
      <c r="A6" s="19" t="s">
        <v>50</v>
      </c>
      <c r="B6" s="19" t="s">
        <v>46</v>
      </c>
      <c r="C6" s="19" t="s">
        <v>51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19" t="s">
        <v>49</v>
      </c>
      <c r="AK6" s="19" t="s">
        <v>49</v>
      </c>
      <c r="AL6" s="19" t="s">
        <v>49</v>
      </c>
      <c r="AM6" s="19" t="s">
        <v>49</v>
      </c>
      <c r="AN6" s="19" t="s">
        <v>49</v>
      </c>
      <c r="AO6" s="3">
        <f t="shared" si="0"/>
        <v>5</v>
      </c>
      <c r="AP6" s="6">
        <f t="shared" si="1"/>
        <v>16</v>
      </c>
      <c r="AQ6" s="5"/>
    </row>
    <row r="7" spans="1:43" ht="123.5" customHeight="1" x14ac:dyDescent="0.35">
      <c r="A7" s="17" t="s">
        <v>52</v>
      </c>
      <c r="B7" s="17" t="s">
        <v>46</v>
      </c>
      <c r="C7" s="17" t="s">
        <v>53</v>
      </c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  <c r="AG7" s="18"/>
      <c r="AH7" s="18"/>
      <c r="AI7" s="18"/>
      <c r="AJ7" s="17" t="s">
        <v>49</v>
      </c>
      <c r="AK7" s="17" t="s">
        <v>49</v>
      </c>
      <c r="AL7" s="17" t="s">
        <v>49</v>
      </c>
      <c r="AM7" s="17" t="s">
        <v>49</v>
      </c>
      <c r="AN7" s="17" t="s">
        <v>49</v>
      </c>
      <c r="AO7" s="3">
        <f t="shared" si="0"/>
        <v>5</v>
      </c>
      <c r="AP7" s="4">
        <f t="shared" si="1"/>
        <v>16</v>
      </c>
      <c r="AQ7" s="2"/>
    </row>
    <row r="8" spans="1:43" ht="123.5" customHeight="1" x14ac:dyDescent="0.35">
      <c r="A8" s="19" t="s">
        <v>54</v>
      </c>
      <c r="B8" s="19" t="s">
        <v>46</v>
      </c>
      <c r="C8" s="19" t="s">
        <v>47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19" t="s">
        <v>49</v>
      </c>
      <c r="AK8" s="19" t="s">
        <v>49</v>
      </c>
      <c r="AL8" s="19" t="s">
        <v>49</v>
      </c>
      <c r="AM8" s="19" t="s">
        <v>49</v>
      </c>
      <c r="AN8" s="19" t="s">
        <v>49</v>
      </c>
      <c r="AO8" s="3">
        <f t="shared" si="0"/>
        <v>5</v>
      </c>
      <c r="AP8" s="6">
        <f t="shared" si="1"/>
        <v>16</v>
      </c>
      <c r="AQ8" s="5"/>
    </row>
    <row r="9" spans="1:43" ht="123.5" customHeight="1" x14ac:dyDescent="0.35">
      <c r="A9" s="17" t="s">
        <v>55</v>
      </c>
      <c r="B9" s="17" t="s">
        <v>46</v>
      </c>
      <c r="C9" s="17" t="s">
        <v>47</v>
      </c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  <c r="AE9" s="18"/>
      <c r="AF9" s="18"/>
      <c r="AG9" s="18"/>
      <c r="AH9" s="18"/>
      <c r="AI9" s="18"/>
      <c r="AJ9" s="17" t="s">
        <v>49</v>
      </c>
      <c r="AK9" s="17" t="s">
        <v>49</v>
      </c>
      <c r="AL9" s="17" t="s">
        <v>49</v>
      </c>
      <c r="AM9" s="17" t="s">
        <v>49</v>
      </c>
      <c r="AN9" s="17" t="s">
        <v>49</v>
      </c>
      <c r="AO9" s="3">
        <f t="shared" si="0"/>
        <v>5</v>
      </c>
      <c r="AP9" s="4">
        <f t="shared" si="1"/>
        <v>16</v>
      </c>
      <c r="AQ9" s="2"/>
    </row>
    <row r="10" spans="1:43" ht="123.5" customHeight="1" x14ac:dyDescent="0.35">
      <c r="A10" s="19" t="s">
        <v>56</v>
      </c>
      <c r="B10" s="19" t="s">
        <v>46</v>
      </c>
      <c r="C10" s="19" t="s">
        <v>51</v>
      </c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19" t="s">
        <v>49</v>
      </c>
      <c r="AK10" s="19" t="s">
        <v>49</v>
      </c>
      <c r="AL10" s="19" t="s">
        <v>49</v>
      </c>
      <c r="AM10" s="19" t="s">
        <v>49</v>
      </c>
      <c r="AN10" s="19" t="s">
        <v>49</v>
      </c>
      <c r="AO10" s="3">
        <f t="shared" si="0"/>
        <v>5</v>
      </c>
      <c r="AP10" s="6">
        <f t="shared" si="1"/>
        <v>16</v>
      </c>
      <c r="AQ10" s="5"/>
    </row>
    <row r="11" spans="1:43" ht="123.5" customHeight="1" x14ac:dyDescent="0.35">
      <c r="A11" s="17" t="s">
        <v>57</v>
      </c>
      <c r="B11" s="17" t="s">
        <v>58</v>
      </c>
      <c r="C11" s="17" t="s">
        <v>59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7" t="s">
        <v>49</v>
      </c>
      <c r="AK11" s="17" t="s">
        <v>49</v>
      </c>
      <c r="AL11" s="17" t="s">
        <v>49</v>
      </c>
      <c r="AM11" s="17" t="s">
        <v>49</v>
      </c>
      <c r="AN11" s="17" t="s">
        <v>49</v>
      </c>
      <c r="AO11" s="3">
        <f t="shared" si="0"/>
        <v>5</v>
      </c>
      <c r="AP11" s="4">
        <f t="shared" si="1"/>
        <v>16</v>
      </c>
      <c r="AQ11" s="2"/>
    </row>
    <row r="12" spans="1:43" ht="123.5" customHeight="1" x14ac:dyDescent="0.35">
      <c r="A12" s="19" t="s">
        <v>60</v>
      </c>
      <c r="B12" s="19" t="s">
        <v>58</v>
      </c>
      <c r="C12" s="19" t="s">
        <v>59</v>
      </c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19" t="s">
        <v>49</v>
      </c>
      <c r="AK12" s="19" t="s">
        <v>49</v>
      </c>
      <c r="AL12" s="19" t="s">
        <v>49</v>
      </c>
      <c r="AM12" s="19" t="s">
        <v>49</v>
      </c>
      <c r="AN12" s="19" t="s">
        <v>49</v>
      </c>
      <c r="AO12" s="3">
        <f t="shared" si="0"/>
        <v>5</v>
      </c>
      <c r="AP12" s="6">
        <f t="shared" si="1"/>
        <v>16</v>
      </c>
      <c r="AQ12" s="5"/>
    </row>
    <row r="13" spans="1:43" ht="123.5" customHeight="1" x14ac:dyDescent="0.35">
      <c r="A13" s="17" t="s">
        <v>61</v>
      </c>
      <c r="B13" s="17" t="s">
        <v>58</v>
      </c>
      <c r="C13" s="17" t="s">
        <v>47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7" t="s">
        <v>49</v>
      </c>
      <c r="AK13" s="17" t="s">
        <v>49</v>
      </c>
      <c r="AL13" s="17" t="s">
        <v>49</v>
      </c>
      <c r="AM13" s="17" t="s">
        <v>49</v>
      </c>
      <c r="AN13" s="17" t="s">
        <v>49</v>
      </c>
      <c r="AO13" s="3">
        <f t="shared" si="0"/>
        <v>5</v>
      </c>
      <c r="AP13" s="4">
        <f t="shared" si="1"/>
        <v>16</v>
      </c>
      <c r="AQ13" s="2"/>
    </row>
    <row r="14" spans="1:43" ht="123.5" customHeight="1" x14ac:dyDescent="0.35">
      <c r="A14" s="19" t="s">
        <v>62</v>
      </c>
      <c r="B14" s="19" t="s">
        <v>58</v>
      </c>
      <c r="C14" s="19" t="s">
        <v>47</v>
      </c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19" t="s">
        <v>49</v>
      </c>
      <c r="AK14" s="19" t="s">
        <v>49</v>
      </c>
      <c r="AL14" s="19" t="s">
        <v>49</v>
      </c>
      <c r="AM14" s="19" t="s">
        <v>49</v>
      </c>
      <c r="AN14" s="19" t="s">
        <v>49</v>
      </c>
      <c r="AO14" s="3">
        <f t="shared" si="0"/>
        <v>5</v>
      </c>
      <c r="AP14" s="6">
        <f t="shared" si="1"/>
        <v>16</v>
      </c>
      <c r="AQ14" s="5"/>
    </row>
    <row r="15" spans="1:43" ht="123.5" customHeight="1" x14ac:dyDescent="0.35">
      <c r="A15" s="17" t="s">
        <v>63</v>
      </c>
      <c r="B15" s="17" t="s">
        <v>58</v>
      </c>
      <c r="C15" s="17" t="s">
        <v>64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7" t="s">
        <v>49</v>
      </c>
      <c r="AK15" s="17" t="s">
        <v>49</v>
      </c>
      <c r="AL15" s="17" t="s">
        <v>49</v>
      </c>
      <c r="AM15" s="17" t="s">
        <v>49</v>
      </c>
      <c r="AN15" s="17" t="s">
        <v>49</v>
      </c>
      <c r="AO15" s="3">
        <f t="shared" si="0"/>
        <v>5</v>
      </c>
      <c r="AP15" s="4">
        <f t="shared" si="1"/>
        <v>16</v>
      </c>
      <c r="AQ15" s="2"/>
    </row>
    <row r="16" spans="1:43" ht="123.5" customHeight="1" x14ac:dyDescent="0.35">
      <c r="A16" s="19" t="s">
        <v>65</v>
      </c>
      <c r="B16" s="19" t="s">
        <v>58</v>
      </c>
      <c r="C16" s="19" t="s">
        <v>53</v>
      </c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19" t="s">
        <v>49</v>
      </c>
      <c r="AK16" s="19" t="s">
        <v>49</v>
      </c>
      <c r="AL16" s="19" t="s">
        <v>49</v>
      </c>
      <c r="AM16" s="19" t="s">
        <v>49</v>
      </c>
      <c r="AN16" s="19" t="s">
        <v>49</v>
      </c>
      <c r="AO16" s="3">
        <f t="shared" si="0"/>
        <v>5</v>
      </c>
      <c r="AP16" s="6">
        <f t="shared" si="1"/>
        <v>16</v>
      </c>
      <c r="AQ16" s="5"/>
    </row>
    <row r="17" spans="1:43" ht="123.5" customHeight="1" x14ac:dyDescent="0.35">
      <c r="A17" s="17" t="s">
        <v>66</v>
      </c>
      <c r="B17" s="17" t="s">
        <v>58</v>
      </c>
      <c r="C17" s="17" t="s">
        <v>47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7" t="s">
        <v>49</v>
      </c>
      <c r="AK17" s="17" t="s">
        <v>49</v>
      </c>
      <c r="AL17" s="17" t="s">
        <v>49</v>
      </c>
      <c r="AM17" s="17" t="s">
        <v>49</v>
      </c>
      <c r="AN17" s="17" t="s">
        <v>49</v>
      </c>
      <c r="AO17" s="3">
        <f t="shared" si="0"/>
        <v>5</v>
      </c>
      <c r="AP17" s="4">
        <f t="shared" si="1"/>
        <v>16</v>
      </c>
      <c r="AQ17" s="2"/>
    </row>
    <row r="18" spans="1:43" ht="123.5" customHeight="1" x14ac:dyDescent="0.35">
      <c r="A18" s="19" t="s">
        <v>67</v>
      </c>
      <c r="B18" s="19" t="s">
        <v>68</v>
      </c>
      <c r="C18" s="19" t="s">
        <v>69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19" t="s">
        <v>49</v>
      </c>
      <c r="AK18" s="19" t="s">
        <v>49</v>
      </c>
      <c r="AL18" s="19" t="s">
        <v>49</v>
      </c>
      <c r="AM18" s="19" t="s">
        <v>49</v>
      </c>
      <c r="AN18" s="19" t="s">
        <v>49</v>
      </c>
      <c r="AO18" s="3">
        <f t="shared" si="0"/>
        <v>5</v>
      </c>
      <c r="AP18" s="6">
        <f t="shared" si="1"/>
        <v>16</v>
      </c>
      <c r="AQ18" s="5"/>
    </row>
    <row r="19" spans="1:43" ht="123.5" customHeight="1" x14ac:dyDescent="0.35">
      <c r="A19" s="17" t="s">
        <v>70</v>
      </c>
      <c r="B19" s="17" t="s">
        <v>68</v>
      </c>
      <c r="C19" s="17" t="s">
        <v>59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7" t="s">
        <v>49</v>
      </c>
      <c r="AK19" s="17" t="s">
        <v>49</v>
      </c>
      <c r="AL19" s="17" t="s">
        <v>49</v>
      </c>
      <c r="AM19" s="17" t="s">
        <v>49</v>
      </c>
      <c r="AN19" s="17" t="s">
        <v>49</v>
      </c>
      <c r="AO19" s="3">
        <f t="shared" si="0"/>
        <v>5</v>
      </c>
      <c r="AP19" s="4">
        <f t="shared" si="1"/>
        <v>16</v>
      </c>
      <c r="AQ19" s="2"/>
    </row>
    <row r="20" spans="1:43" ht="123.5" customHeight="1" x14ac:dyDescent="0.35">
      <c r="A20" s="19" t="s">
        <v>71</v>
      </c>
      <c r="B20" s="19" t="s">
        <v>68</v>
      </c>
      <c r="C20" s="19" t="s">
        <v>47</v>
      </c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19" t="s">
        <v>49</v>
      </c>
      <c r="AK20" s="19" t="s">
        <v>49</v>
      </c>
      <c r="AL20" s="19" t="s">
        <v>49</v>
      </c>
      <c r="AM20" s="19" t="s">
        <v>49</v>
      </c>
      <c r="AN20" s="19" t="s">
        <v>49</v>
      </c>
      <c r="AO20" s="3">
        <f t="shared" si="0"/>
        <v>5</v>
      </c>
      <c r="AP20" s="6">
        <f t="shared" si="1"/>
        <v>16</v>
      </c>
      <c r="AQ20" s="5"/>
    </row>
    <row r="21" spans="1:43" ht="123.5" customHeight="1" x14ac:dyDescent="0.35">
      <c r="A21" s="17" t="s">
        <v>72</v>
      </c>
      <c r="B21" s="17" t="s">
        <v>68</v>
      </c>
      <c r="C21" s="17" t="s">
        <v>51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7" t="s">
        <v>49</v>
      </c>
      <c r="AK21" s="17" t="s">
        <v>49</v>
      </c>
      <c r="AL21" s="17" t="s">
        <v>49</v>
      </c>
      <c r="AM21" s="17" t="s">
        <v>49</v>
      </c>
      <c r="AN21" s="17" t="s">
        <v>49</v>
      </c>
      <c r="AO21" s="3">
        <f t="shared" si="0"/>
        <v>5</v>
      </c>
      <c r="AP21" s="4">
        <f t="shared" si="1"/>
        <v>16</v>
      </c>
      <c r="AQ21" s="2"/>
    </row>
    <row r="22" spans="1:43" ht="123.5" customHeight="1" x14ac:dyDescent="0.35">
      <c r="A22" s="19" t="s">
        <v>73</v>
      </c>
      <c r="B22" s="19" t="s">
        <v>68</v>
      </c>
      <c r="C22" s="19" t="s">
        <v>53</v>
      </c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19" t="s">
        <v>49</v>
      </c>
      <c r="AK22" s="19" t="s">
        <v>49</v>
      </c>
      <c r="AL22" s="19" t="s">
        <v>49</v>
      </c>
      <c r="AM22" s="19" t="s">
        <v>49</v>
      </c>
      <c r="AN22" s="19" t="s">
        <v>49</v>
      </c>
      <c r="AO22" s="3">
        <f t="shared" si="0"/>
        <v>5</v>
      </c>
      <c r="AP22" s="6">
        <f t="shared" si="1"/>
        <v>16</v>
      </c>
      <c r="AQ22" s="5"/>
    </row>
    <row r="23" spans="1:43" ht="123.5" customHeight="1" x14ac:dyDescent="0.35">
      <c r="A23" s="17" t="s">
        <v>74</v>
      </c>
      <c r="B23" s="17" t="s">
        <v>68</v>
      </c>
      <c r="C23" s="17" t="s">
        <v>47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7" t="s">
        <v>49</v>
      </c>
      <c r="AK23" s="17" t="s">
        <v>49</v>
      </c>
      <c r="AL23" s="17" t="s">
        <v>49</v>
      </c>
      <c r="AM23" s="17" t="s">
        <v>49</v>
      </c>
      <c r="AN23" s="17" t="s">
        <v>49</v>
      </c>
      <c r="AO23" s="3">
        <f t="shared" si="0"/>
        <v>5</v>
      </c>
      <c r="AP23" s="4">
        <f t="shared" si="1"/>
        <v>16</v>
      </c>
      <c r="AQ23" s="2"/>
    </row>
    <row r="24" spans="1:43" ht="123.5" customHeight="1" x14ac:dyDescent="0.35">
      <c r="A24" s="19" t="s">
        <v>75</v>
      </c>
      <c r="B24" s="19" t="s">
        <v>76</v>
      </c>
      <c r="C24" s="19" t="s">
        <v>77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19" t="s">
        <v>49</v>
      </c>
      <c r="AK24" s="19" t="s">
        <v>49</v>
      </c>
      <c r="AL24" s="19" t="s">
        <v>49</v>
      </c>
      <c r="AM24" s="19" t="s">
        <v>49</v>
      </c>
      <c r="AN24" s="19" t="s">
        <v>49</v>
      </c>
      <c r="AO24" s="3">
        <f t="shared" si="0"/>
        <v>5</v>
      </c>
      <c r="AP24" s="6">
        <f t="shared" si="1"/>
        <v>16</v>
      </c>
      <c r="AQ24" s="5"/>
    </row>
    <row r="25" spans="1:43" ht="123.5" customHeight="1" x14ac:dyDescent="0.35">
      <c r="A25" s="17" t="s">
        <v>78</v>
      </c>
      <c r="B25" s="17" t="s">
        <v>76</v>
      </c>
      <c r="C25" s="17" t="s">
        <v>79</v>
      </c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7" t="s">
        <v>49</v>
      </c>
      <c r="AK25" s="17" t="s">
        <v>49</v>
      </c>
      <c r="AL25" s="17" t="s">
        <v>49</v>
      </c>
      <c r="AM25" s="17" t="s">
        <v>49</v>
      </c>
      <c r="AN25" s="17" t="s">
        <v>49</v>
      </c>
      <c r="AO25" s="3">
        <f t="shared" si="0"/>
        <v>5</v>
      </c>
      <c r="AP25" s="4">
        <f t="shared" si="1"/>
        <v>16</v>
      </c>
      <c r="AQ25" s="2"/>
    </row>
    <row r="26" spans="1:43" ht="123.5" customHeight="1" x14ac:dyDescent="0.35">
      <c r="A26" s="19" t="s">
        <v>80</v>
      </c>
      <c r="B26" s="19" t="s">
        <v>76</v>
      </c>
      <c r="C26" s="19" t="s">
        <v>79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19" t="s">
        <v>49</v>
      </c>
      <c r="AK26" s="19" t="s">
        <v>49</v>
      </c>
      <c r="AL26" s="19" t="s">
        <v>49</v>
      </c>
      <c r="AM26" s="19" t="s">
        <v>49</v>
      </c>
      <c r="AN26" s="19" t="s">
        <v>49</v>
      </c>
      <c r="AO26" s="3">
        <f t="shared" si="0"/>
        <v>5</v>
      </c>
      <c r="AP26" s="6">
        <f t="shared" si="1"/>
        <v>16</v>
      </c>
      <c r="AQ26" s="5"/>
    </row>
    <row r="27" spans="1:43" ht="123.5" customHeight="1" x14ac:dyDescent="0.35">
      <c r="A27" s="17" t="s">
        <v>81</v>
      </c>
      <c r="B27" s="17" t="s">
        <v>76</v>
      </c>
      <c r="C27" s="17" t="s">
        <v>82</v>
      </c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7" t="s">
        <v>49</v>
      </c>
      <c r="AK27" s="17" t="s">
        <v>49</v>
      </c>
      <c r="AL27" s="17" t="s">
        <v>49</v>
      </c>
      <c r="AM27" s="17" t="s">
        <v>49</v>
      </c>
      <c r="AN27" s="17" t="s">
        <v>49</v>
      </c>
      <c r="AO27" s="3">
        <f t="shared" si="0"/>
        <v>5</v>
      </c>
      <c r="AP27" s="4">
        <f t="shared" si="1"/>
        <v>16</v>
      </c>
      <c r="AQ27" s="2"/>
    </row>
    <row r="28" spans="1:43" ht="123.5" customHeight="1" x14ac:dyDescent="0.35">
      <c r="A28" s="19" t="s">
        <v>83</v>
      </c>
      <c r="B28" s="19" t="s">
        <v>76</v>
      </c>
      <c r="C28" s="19" t="s">
        <v>84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19" t="s">
        <v>49</v>
      </c>
      <c r="AK28" s="19" t="s">
        <v>49</v>
      </c>
      <c r="AL28" s="19" t="s">
        <v>49</v>
      </c>
      <c r="AM28" s="19" t="s">
        <v>49</v>
      </c>
      <c r="AN28" s="19" t="s">
        <v>49</v>
      </c>
      <c r="AO28" s="3">
        <f t="shared" si="0"/>
        <v>5</v>
      </c>
      <c r="AP28" s="6">
        <f t="shared" si="1"/>
        <v>16</v>
      </c>
      <c r="AQ28" s="5"/>
    </row>
    <row r="29" spans="1:43" ht="123.5" customHeight="1" x14ac:dyDescent="0.35">
      <c r="A29" s="17" t="s">
        <v>85</v>
      </c>
      <c r="B29" s="17" t="s">
        <v>76</v>
      </c>
      <c r="C29" s="17" t="s">
        <v>86</v>
      </c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7" t="s">
        <v>49</v>
      </c>
      <c r="AK29" s="17" t="s">
        <v>49</v>
      </c>
      <c r="AL29" s="17" t="s">
        <v>49</v>
      </c>
      <c r="AM29" s="17" t="s">
        <v>49</v>
      </c>
      <c r="AN29" s="17" t="s">
        <v>49</v>
      </c>
      <c r="AO29" s="3">
        <f t="shared" si="0"/>
        <v>5</v>
      </c>
      <c r="AP29" s="4">
        <f t="shared" si="1"/>
        <v>16</v>
      </c>
      <c r="AQ29" s="2"/>
    </row>
    <row r="30" spans="1:43" ht="123.5" customHeight="1" x14ac:dyDescent="0.35">
      <c r="A30" s="21" t="s">
        <v>87</v>
      </c>
      <c r="B30" s="21" t="s">
        <v>88</v>
      </c>
      <c r="C30" s="21" t="s">
        <v>89</v>
      </c>
      <c r="D30" s="21">
        <f t="shared" ref="D30:AN30" si="2">COUNTA(D5:D29)</f>
        <v>0</v>
      </c>
      <c r="E30" s="21">
        <f t="shared" si="2"/>
        <v>0</v>
      </c>
      <c r="F30" s="21">
        <f t="shared" si="2"/>
        <v>0</v>
      </c>
      <c r="G30" s="21">
        <f t="shared" si="2"/>
        <v>0</v>
      </c>
      <c r="H30" s="21">
        <f t="shared" si="2"/>
        <v>0</v>
      </c>
      <c r="I30" s="21">
        <f t="shared" si="2"/>
        <v>0</v>
      </c>
      <c r="J30" s="21">
        <f t="shared" si="2"/>
        <v>0</v>
      </c>
      <c r="K30" s="21">
        <f t="shared" si="2"/>
        <v>0</v>
      </c>
      <c r="L30" s="21">
        <f t="shared" si="2"/>
        <v>0</v>
      </c>
      <c r="M30" s="21">
        <f t="shared" si="2"/>
        <v>0</v>
      </c>
      <c r="N30" s="21">
        <f t="shared" si="2"/>
        <v>0</v>
      </c>
      <c r="O30" s="21">
        <f t="shared" si="2"/>
        <v>0</v>
      </c>
      <c r="P30" s="21">
        <f t="shared" si="2"/>
        <v>0</v>
      </c>
      <c r="Q30" s="21">
        <f t="shared" si="2"/>
        <v>0</v>
      </c>
      <c r="R30" s="21">
        <f t="shared" si="2"/>
        <v>0</v>
      </c>
      <c r="S30" s="21">
        <f t="shared" si="2"/>
        <v>0</v>
      </c>
      <c r="T30" s="21">
        <f t="shared" si="2"/>
        <v>0</v>
      </c>
      <c r="U30" s="21">
        <f t="shared" si="2"/>
        <v>0</v>
      </c>
      <c r="V30" s="21">
        <f t="shared" si="2"/>
        <v>0</v>
      </c>
      <c r="W30" s="21">
        <f t="shared" si="2"/>
        <v>0</v>
      </c>
      <c r="X30" s="21">
        <f t="shared" si="2"/>
        <v>0</v>
      </c>
      <c r="Y30" s="21">
        <f t="shared" si="2"/>
        <v>0</v>
      </c>
      <c r="Z30" s="21">
        <f t="shared" si="2"/>
        <v>0</v>
      </c>
      <c r="AA30" s="21">
        <f t="shared" si="2"/>
        <v>0</v>
      </c>
      <c r="AB30" s="21">
        <f t="shared" si="2"/>
        <v>0</v>
      </c>
      <c r="AC30" s="21">
        <f t="shared" si="2"/>
        <v>0</v>
      </c>
      <c r="AD30" s="21">
        <f t="shared" si="2"/>
        <v>0</v>
      </c>
      <c r="AE30" s="21">
        <f t="shared" si="2"/>
        <v>0</v>
      </c>
      <c r="AF30" s="21">
        <f t="shared" si="2"/>
        <v>0</v>
      </c>
      <c r="AG30" s="21">
        <f t="shared" si="2"/>
        <v>0</v>
      </c>
      <c r="AH30" s="21">
        <f t="shared" si="2"/>
        <v>0</v>
      </c>
      <c r="AI30" s="21">
        <f t="shared" si="2"/>
        <v>0</v>
      </c>
      <c r="AJ30" s="21">
        <f t="shared" si="2"/>
        <v>25</v>
      </c>
      <c r="AK30" s="21">
        <f t="shared" si="2"/>
        <v>25</v>
      </c>
      <c r="AL30" s="21">
        <f t="shared" si="2"/>
        <v>25</v>
      </c>
      <c r="AM30" s="21">
        <f t="shared" si="2"/>
        <v>25</v>
      </c>
      <c r="AN30" s="21">
        <f t="shared" si="2"/>
        <v>25</v>
      </c>
      <c r="AO30" s="7">
        <f>SUM(AO5:AO29)</f>
        <v>125</v>
      </c>
      <c r="AP30" s="7">
        <f>AVERAGE(AP5:AP29)</f>
        <v>16</v>
      </c>
      <c r="AQ30" s="7" t="s">
        <v>90</v>
      </c>
    </row>
  </sheetData>
  <mergeCells count="3">
    <mergeCell ref="A2:AQ2"/>
    <mergeCell ref="A1:AQ1"/>
    <mergeCell ref="A3:AQ3"/>
  </mergeCells>
  <printOptions horizontalCentered="1" verticalCentered="1"/>
  <pageMargins left="0.25" right="0.25" top="0.75" bottom="0.75" header="0.3" footer="0.3"/>
  <pageSetup paperSize="9" scale="14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I8"/>
  <sheetViews>
    <sheetView rightToLeft="1" workbookViewId="0"/>
  </sheetViews>
  <sheetFormatPr defaultRowHeight="14.5" x14ac:dyDescent="0.35"/>
  <cols>
    <col min="1" max="1" width="11" customWidth="1"/>
    <col min="2" max="3" width="24" customWidth="1"/>
    <col min="4" max="4" width="10" customWidth="1"/>
    <col min="5" max="27" width="5.1796875" customWidth="1"/>
    <col min="28" max="29" width="14" customWidth="1"/>
    <col min="30" max="30" width="16" customWidth="1"/>
    <col min="31" max="31" width="14" customWidth="1"/>
    <col min="32" max="32" width="16" customWidth="1"/>
    <col min="33" max="33" width="18" customWidth="1"/>
  </cols>
  <sheetData>
    <row r="1" spans="1:35" ht="30" customHeight="1" x14ac:dyDescent="0.35">
      <c r="A1" s="14" t="s">
        <v>91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</row>
    <row r="3" spans="1:35" ht="140" customHeight="1" x14ac:dyDescent="0.35">
      <c r="A3" s="1" t="s">
        <v>92</v>
      </c>
      <c r="B3" s="1" t="s">
        <v>93</v>
      </c>
      <c r="C3" s="1" t="s">
        <v>94</v>
      </c>
      <c r="D3" s="1" t="s">
        <v>95</v>
      </c>
      <c r="E3" s="1" t="s">
        <v>10</v>
      </c>
      <c r="F3" s="1" t="s">
        <v>11</v>
      </c>
      <c r="G3" s="1" t="s">
        <v>29</v>
      </c>
      <c r="H3" s="1" t="s">
        <v>30</v>
      </c>
      <c r="I3" s="1" t="s">
        <v>31</v>
      </c>
      <c r="J3" s="1" t="s">
        <v>12</v>
      </c>
      <c r="K3" s="1" t="s">
        <v>14</v>
      </c>
      <c r="L3" s="1" t="s">
        <v>96</v>
      </c>
      <c r="M3" s="1" t="s">
        <v>97</v>
      </c>
      <c r="N3" s="1" t="s">
        <v>98</v>
      </c>
      <c r="O3" s="1" t="s">
        <v>99</v>
      </c>
      <c r="P3" s="1" t="s">
        <v>100</v>
      </c>
      <c r="Q3" s="1" t="s">
        <v>101</v>
      </c>
      <c r="R3" s="1" t="s">
        <v>102</v>
      </c>
      <c r="S3" s="1" t="s">
        <v>103</v>
      </c>
      <c r="T3" s="1" t="s">
        <v>104</v>
      </c>
      <c r="U3" s="1" t="s">
        <v>105</v>
      </c>
      <c r="V3" s="1" t="s">
        <v>106</v>
      </c>
      <c r="W3" s="1" t="s">
        <v>107</v>
      </c>
      <c r="X3" s="1" t="s">
        <v>108</v>
      </c>
      <c r="Y3" s="1" t="s">
        <v>109</v>
      </c>
      <c r="Z3" s="1" t="s">
        <v>110</v>
      </c>
      <c r="AA3" s="1" t="s">
        <v>111</v>
      </c>
      <c r="AB3" s="1" t="s">
        <v>112</v>
      </c>
      <c r="AC3" s="1" t="s">
        <v>113</v>
      </c>
      <c r="AD3" s="1" t="s">
        <v>114</v>
      </c>
      <c r="AE3" s="1" t="s">
        <v>115</v>
      </c>
      <c r="AF3" s="1" t="s">
        <v>116</v>
      </c>
      <c r="AG3" s="1" t="s">
        <v>117</v>
      </c>
    </row>
    <row r="4" spans="1:35" ht="22" customHeight="1" x14ac:dyDescent="0.35">
      <c r="A4" s="8" t="s">
        <v>118</v>
      </c>
      <c r="B4" s="8" t="s">
        <v>119</v>
      </c>
      <c r="C4" s="8" t="s">
        <v>120</v>
      </c>
      <c r="D4" s="8" t="s">
        <v>121</v>
      </c>
      <c r="E4" s="2" t="s">
        <v>48</v>
      </c>
      <c r="F4" s="2" t="s">
        <v>48</v>
      </c>
      <c r="G4" s="2" t="s">
        <v>48</v>
      </c>
      <c r="H4" s="2" t="s">
        <v>48</v>
      </c>
      <c r="I4" s="2" t="s">
        <v>48</v>
      </c>
      <c r="J4" s="2" t="s">
        <v>48</v>
      </c>
      <c r="K4" s="2" t="s">
        <v>48</v>
      </c>
      <c r="L4" s="2" t="s">
        <v>48</v>
      </c>
      <c r="M4" s="2" t="s">
        <v>48</v>
      </c>
      <c r="N4" s="2" t="s">
        <v>48</v>
      </c>
      <c r="O4" s="2" t="s">
        <v>48</v>
      </c>
      <c r="P4" s="2" t="s">
        <v>48</v>
      </c>
      <c r="Q4" s="2" t="s">
        <v>48</v>
      </c>
      <c r="R4" s="2" t="s">
        <v>48</v>
      </c>
      <c r="S4" s="2" t="s">
        <v>48</v>
      </c>
      <c r="T4" s="2" t="s">
        <v>48</v>
      </c>
      <c r="U4" s="2" t="s">
        <v>48</v>
      </c>
      <c r="V4" s="2" t="s">
        <v>48</v>
      </c>
      <c r="W4" s="2" t="s">
        <v>48</v>
      </c>
      <c r="X4" s="2" t="s">
        <v>48</v>
      </c>
      <c r="Y4" s="2" t="s">
        <v>48</v>
      </c>
      <c r="Z4" s="2" t="s">
        <v>48</v>
      </c>
      <c r="AA4" s="2" t="s">
        <v>48</v>
      </c>
      <c r="AB4" s="2">
        <v>168</v>
      </c>
      <c r="AC4" s="2">
        <v>168</v>
      </c>
      <c r="AD4" s="9" t="str">
        <f>IF(AB5&gt;=AC5,"رصيد آمن 🟢","طلب شراء عاجل 🔴")</f>
        <v>رصيد آمن 🟢</v>
      </c>
      <c r="AE4" s="10">
        <v>300</v>
      </c>
      <c r="AF4" s="10">
        <f>AB5*AE5</f>
        <v>45000</v>
      </c>
      <c r="AG4" s="2" t="s">
        <v>122</v>
      </c>
    </row>
    <row r="5" spans="1:35" ht="22" customHeight="1" x14ac:dyDescent="0.35">
      <c r="A5" s="11" t="s">
        <v>123</v>
      </c>
      <c r="B5" s="11" t="s">
        <v>124</v>
      </c>
      <c r="C5" s="11" t="s">
        <v>120</v>
      </c>
      <c r="D5" s="11" t="s">
        <v>125</v>
      </c>
      <c r="E5" s="5" t="s">
        <v>48</v>
      </c>
      <c r="F5" s="5" t="s">
        <v>48</v>
      </c>
      <c r="G5" s="5" t="s">
        <v>48</v>
      </c>
      <c r="H5" s="5" t="s">
        <v>48</v>
      </c>
      <c r="I5" s="5" t="s">
        <v>48</v>
      </c>
      <c r="J5" s="5" t="s">
        <v>48</v>
      </c>
      <c r="K5" s="5" t="s">
        <v>48</v>
      </c>
      <c r="L5" s="5" t="s">
        <v>48</v>
      </c>
      <c r="M5" s="5" t="s">
        <v>48</v>
      </c>
      <c r="N5" s="5" t="s">
        <v>48</v>
      </c>
      <c r="O5" s="5" t="s">
        <v>48</v>
      </c>
      <c r="P5" s="5" t="s">
        <v>48</v>
      </c>
      <c r="Q5" s="5" t="s">
        <v>48</v>
      </c>
      <c r="R5" s="5" t="s">
        <v>48</v>
      </c>
      <c r="S5" s="5" t="s">
        <v>48</v>
      </c>
      <c r="T5" s="5" t="s">
        <v>48</v>
      </c>
      <c r="U5" s="5" t="s">
        <v>48</v>
      </c>
      <c r="V5" s="5" t="s">
        <v>48</v>
      </c>
      <c r="W5" s="5" t="s">
        <v>48</v>
      </c>
      <c r="X5" s="5" t="s">
        <v>48</v>
      </c>
      <c r="Y5" s="5" t="s">
        <v>48</v>
      </c>
      <c r="Z5" s="5" t="s">
        <v>48</v>
      </c>
      <c r="AA5" s="5" t="s">
        <v>48</v>
      </c>
      <c r="AB5" s="5">
        <v>250</v>
      </c>
      <c r="AC5" s="5">
        <v>250</v>
      </c>
      <c r="AD5" s="12" t="str">
        <f>IF(AB6&gt;=AC6,"رصيد آمن 🟢","طلب شراء عاجل 🔴")</f>
        <v>رصيد آمن 🟢</v>
      </c>
      <c r="AE5" s="13">
        <v>180</v>
      </c>
      <c r="AF5" s="13">
        <f>AB6*AE6</f>
        <v>7800</v>
      </c>
      <c r="AG5" s="5" t="s">
        <v>122</v>
      </c>
    </row>
    <row r="6" spans="1:35" ht="22" customHeight="1" x14ac:dyDescent="0.35">
      <c r="A6" s="8" t="s">
        <v>126</v>
      </c>
      <c r="B6" s="8" t="s">
        <v>127</v>
      </c>
      <c r="C6" s="8" t="s">
        <v>128</v>
      </c>
      <c r="D6" s="8" t="s">
        <v>129</v>
      </c>
      <c r="E6" s="2" t="s">
        <v>48</v>
      </c>
      <c r="F6" s="2" t="s">
        <v>48</v>
      </c>
      <c r="G6" s="2" t="s">
        <v>48</v>
      </c>
      <c r="H6" s="2" t="s">
        <v>48</v>
      </c>
      <c r="I6" s="2" t="s">
        <v>48</v>
      </c>
      <c r="J6" s="2" t="s">
        <v>48</v>
      </c>
      <c r="K6" s="2" t="s">
        <v>48</v>
      </c>
      <c r="L6" s="2" t="s">
        <v>48</v>
      </c>
      <c r="M6" s="2" t="s">
        <v>48</v>
      </c>
      <c r="N6" s="2" t="s">
        <v>48</v>
      </c>
      <c r="O6" s="2" t="s">
        <v>48</v>
      </c>
      <c r="P6" s="2" t="s">
        <v>48</v>
      </c>
      <c r="Q6" s="2" t="s">
        <v>48</v>
      </c>
      <c r="R6" s="2" t="s">
        <v>48</v>
      </c>
      <c r="S6" s="2" t="s">
        <v>48</v>
      </c>
      <c r="T6" s="2" t="s">
        <v>48</v>
      </c>
      <c r="U6" s="2" t="s">
        <v>48</v>
      </c>
      <c r="V6" s="2" t="s">
        <v>48</v>
      </c>
      <c r="W6" s="2" t="s">
        <v>48</v>
      </c>
      <c r="X6" s="2" t="s">
        <v>48</v>
      </c>
      <c r="Y6" s="2" t="s">
        <v>48</v>
      </c>
      <c r="Z6" s="2" t="s">
        <v>48</v>
      </c>
      <c r="AA6" s="2" t="s">
        <v>48</v>
      </c>
      <c r="AB6" s="2">
        <v>12</v>
      </c>
      <c r="AC6" s="2">
        <v>10</v>
      </c>
      <c r="AD6" s="9" t="str">
        <f>IF(AB7&gt;=AC7,"رصيد آمن 🟢","طلب شراء عاجل 🔴")</f>
        <v>رصيد آمن 🟢</v>
      </c>
      <c r="AE6" s="10">
        <v>650</v>
      </c>
      <c r="AF6" s="10">
        <f>AB7*AE7</f>
        <v>6000</v>
      </c>
      <c r="AG6" s="2" t="s">
        <v>122</v>
      </c>
    </row>
    <row r="7" spans="1:35" ht="22" customHeight="1" x14ac:dyDescent="0.35">
      <c r="A7" s="11" t="s">
        <v>130</v>
      </c>
      <c r="B7" s="11" t="s">
        <v>131</v>
      </c>
      <c r="C7" s="11" t="s">
        <v>128</v>
      </c>
      <c r="D7" s="11" t="s">
        <v>129</v>
      </c>
      <c r="E7" s="5" t="s">
        <v>48</v>
      </c>
      <c r="F7" s="5" t="s">
        <v>48</v>
      </c>
      <c r="G7" s="5" t="s">
        <v>48</v>
      </c>
      <c r="H7" s="5" t="s">
        <v>48</v>
      </c>
      <c r="I7" s="5" t="s">
        <v>48</v>
      </c>
      <c r="J7" s="5" t="s">
        <v>48</v>
      </c>
      <c r="K7" s="5" t="s">
        <v>48</v>
      </c>
      <c r="L7" s="5" t="s">
        <v>48</v>
      </c>
      <c r="M7" s="5" t="s">
        <v>48</v>
      </c>
      <c r="N7" s="5" t="s">
        <v>48</v>
      </c>
      <c r="O7" s="5" t="s">
        <v>48</v>
      </c>
      <c r="P7" s="5" t="s">
        <v>48</v>
      </c>
      <c r="Q7" s="5" t="s">
        <v>48</v>
      </c>
      <c r="R7" s="5" t="s">
        <v>48</v>
      </c>
      <c r="S7" s="5" t="s">
        <v>48</v>
      </c>
      <c r="T7" s="5" t="s">
        <v>48</v>
      </c>
      <c r="U7" s="5" t="s">
        <v>48</v>
      </c>
      <c r="V7" s="5" t="s">
        <v>48</v>
      </c>
      <c r="W7" s="5" t="s">
        <v>48</v>
      </c>
      <c r="X7" s="5" t="s">
        <v>48</v>
      </c>
      <c r="Y7" s="5" t="s">
        <v>48</v>
      </c>
      <c r="Z7" s="5" t="s">
        <v>48</v>
      </c>
      <c r="AA7" s="5" t="s">
        <v>48</v>
      </c>
      <c r="AB7" s="5">
        <v>15</v>
      </c>
      <c r="AC7" s="5">
        <v>8</v>
      </c>
      <c r="AD7" s="12" t="str">
        <f>IF(AB8&gt;=AC8,"رصيد آمن 🟢","طلب شراء عاجل 🔴")</f>
        <v>رصيد آمن 🟢</v>
      </c>
      <c r="AE7" s="13">
        <v>400</v>
      </c>
      <c r="AF7" s="13">
        <f>AB8*AE8</f>
        <v>3920</v>
      </c>
      <c r="AG7" s="5" t="s">
        <v>122</v>
      </c>
    </row>
    <row r="8" spans="1:35" ht="22" customHeight="1" x14ac:dyDescent="0.35">
      <c r="A8" s="8" t="s">
        <v>132</v>
      </c>
      <c r="B8" s="8" t="s">
        <v>133</v>
      </c>
      <c r="C8" s="8" t="s">
        <v>134</v>
      </c>
      <c r="D8" s="8" t="s">
        <v>135</v>
      </c>
      <c r="E8" s="2" t="s">
        <v>48</v>
      </c>
      <c r="F8" s="2" t="s">
        <v>48</v>
      </c>
      <c r="G8" s="2" t="s">
        <v>48</v>
      </c>
      <c r="H8" s="2" t="s">
        <v>48</v>
      </c>
      <c r="I8" s="2" t="s">
        <v>48</v>
      </c>
      <c r="J8" s="2" t="s">
        <v>48</v>
      </c>
      <c r="K8" s="2" t="s">
        <v>48</v>
      </c>
      <c r="L8" s="2" t="s">
        <v>48</v>
      </c>
      <c r="M8" s="2" t="s">
        <v>48</v>
      </c>
      <c r="N8" s="2" t="s">
        <v>48</v>
      </c>
      <c r="O8" s="2" t="s">
        <v>48</v>
      </c>
      <c r="P8" s="2" t="s">
        <v>48</v>
      </c>
      <c r="Q8" s="2" t="s">
        <v>48</v>
      </c>
      <c r="R8" s="2" t="s">
        <v>48</v>
      </c>
      <c r="S8" s="2" t="s">
        <v>48</v>
      </c>
      <c r="T8" s="2" t="s">
        <v>48</v>
      </c>
      <c r="U8" s="2" t="s">
        <v>48</v>
      </c>
      <c r="V8" s="2" t="s">
        <v>48</v>
      </c>
      <c r="W8" s="2" t="s">
        <v>48</v>
      </c>
      <c r="X8" s="2" t="s">
        <v>48</v>
      </c>
      <c r="Y8" s="2" t="s">
        <v>48</v>
      </c>
      <c r="Z8" s="2" t="s">
        <v>48</v>
      </c>
      <c r="AA8" s="2" t="s">
        <v>48</v>
      </c>
      <c r="AB8" s="2">
        <v>14</v>
      </c>
      <c r="AC8" s="2">
        <v>8</v>
      </c>
      <c r="AD8" s="9" t="str">
        <f>IF(AB9&gt;=AC9,"رصيد آمن 🟢","طلب شراء عاجل 🔴")</f>
        <v>رصيد آمن 🟢</v>
      </c>
      <c r="AE8" s="10">
        <v>280</v>
      </c>
      <c r="AF8" s="10">
        <f>AB9*AE9</f>
        <v>0</v>
      </c>
      <c r="AG8" s="2" t="s">
        <v>122</v>
      </c>
    </row>
  </sheetData>
  <mergeCells count="1">
    <mergeCell ref="A1:AI1"/>
  </mergeCells>
  <pageMargins left="0.7" right="0.7" top="0.75" bottom="0.75" header="0.3" footer="0.3"/>
  <pageSetup paperSize="9" orientation="landscape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الغرف (علامة صح)</vt:lpstr>
      <vt:lpstr>جرد وتجميع المخازن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2026-08-15T12:09:28Z</dcterms:created>
  <dcterms:modified xsi:type="dcterms:W3CDTF">2026-08-15T12:25:16Z</dcterms:modified>
  <cp:category/>
</cp:coreProperties>
</file>