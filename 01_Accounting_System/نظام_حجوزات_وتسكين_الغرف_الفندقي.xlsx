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حالة الغرف الـ 25 (Room Rack)" state="visible" r:id="rId4"/>
    <sheet sheetId="2" name="سجل الحجوزات والتسكين" state="visible" r:id="rId5"/>
  </sheets>
  <calcPr calcId="171027"/>
</workbook>
</file>

<file path=xl/sharedStrings.xml><?xml version="1.0" encoding="utf-8"?>
<sst xmlns="http://schemas.openxmlformats.org/spreadsheetml/2006/main" count="301" uniqueCount="147">
  <si>
    <t>🏨 فندق هينو الأهرامات — شاشة حالة الغرف الـ 25 التفاعلية (Room Status &amp; Inventory Rack)</t>
  </si>
  <si>
    <t>🟢 شاغرة جاهزة: =COUNTIF(E5:E29, "شاغرة جاهزة")</t>
  </si>
  <si>
    <t>🔴 مشغولة: =COUNTIF(E5:E29, "مشغولة")</t>
  </si>
  <si>
    <t>🟡 تحت التنظيف: =COUNTIF(E5:E29, "تحت التنظيف")</t>
  </si>
  <si>
    <t>🟠 صيانة: =COUNTIF(E5:E29, "صيانة")</t>
  </si>
  <si>
    <t>رقم الغرفة</t>
  </si>
  <si>
    <t>الطابق</t>
  </si>
  <si>
    <t>نوع الغرفة</t>
  </si>
  <si>
    <t>عدد الأسرة</t>
  </si>
  <si>
    <t>حالة الغرفة</t>
  </si>
  <si>
    <t>اسم النزيل الحالي</t>
  </si>
  <si>
    <t>تاريخ الوصول</t>
  </si>
  <si>
    <t>تاريخ المغادرة</t>
  </si>
  <si>
    <t>سعر الليلة (جـ)</t>
  </si>
  <si>
    <t>ملاحظات وتوجيهات الإشراف</t>
  </si>
  <si>
    <t>101</t>
  </si>
  <si>
    <t>الدور الأول</t>
  </si>
  <si>
    <t>غرفة مزدوجة - طابق أرضي</t>
  </si>
  <si>
    <t>شاغرة جاهزة</t>
  </si>
  <si>
    <t/>
  </si>
  <si>
    <t>جاهزة للتسكين</t>
  </si>
  <si>
    <t>102</t>
  </si>
  <si>
    <t>غرفة ثلاثية - طابق أرضي</t>
  </si>
  <si>
    <t>مشغولة</t>
  </si>
  <si>
    <t>John Smith (Booking.com)</t>
  </si>
  <si>
    <t>2026-08-14</t>
  </si>
  <si>
    <t>2026-08-18</t>
  </si>
  <si>
    <t>نزيل أجنبي - مسدد بالكامل</t>
  </si>
  <si>
    <t>103</t>
  </si>
  <si>
    <t>غرفة مفردة - طابق أرضي</t>
  </si>
  <si>
    <t>تحت التنظيف</t>
  </si>
  <si>
    <t>مغادرة صباح اليوم</t>
  </si>
  <si>
    <t>104</t>
  </si>
  <si>
    <t>105</t>
  </si>
  <si>
    <t>أحمد علي (مباشر)</t>
  </si>
  <si>
    <t>2026-08-15</t>
  </si>
  <si>
    <t>2026-08-17</t>
  </si>
  <si>
    <t>متبقي 600 جـ</t>
  </si>
  <si>
    <t>106</t>
  </si>
  <si>
    <t>201</t>
  </si>
  <si>
    <t>الدور الثاني</t>
  </si>
  <si>
    <t>غرفة ديلوكس إطلالة الأهرامات</t>
  </si>
  <si>
    <t>Marco Rossi (Expedia)</t>
  </si>
  <si>
    <t>2026-08-13</t>
  </si>
  <si>
    <t>2026-08-16</t>
  </si>
  <si>
    <t>إطلالة مباشرة على الهرم</t>
  </si>
  <si>
    <t>202</t>
  </si>
  <si>
    <t>Sarah Jenkins (Booking.com)</t>
  </si>
  <si>
    <t>2026-08-20</t>
  </si>
  <si>
    <t>رحلة خيل وسفاري</t>
  </si>
  <si>
    <t>203</t>
  </si>
  <si>
    <t>غرفة مزدوجة قياسية</t>
  </si>
  <si>
    <t>204</t>
  </si>
  <si>
    <t>صيانة</t>
  </si>
  <si>
    <t>إصلاح التكييف</t>
  </si>
  <si>
    <t>205</t>
  </si>
  <si>
    <t>غرفة ثلاثية عائلية</t>
  </si>
  <si>
    <t>عائلة محمود حسان (مباشر)</t>
  </si>
  <si>
    <t>سرير إضافي</t>
  </si>
  <si>
    <t>206</t>
  </si>
  <si>
    <t>غرفة مفردة قياسية</t>
  </si>
  <si>
    <t>207</t>
  </si>
  <si>
    <t>تنظيف وتغيير كتانيات</t>
  </si>
  <si>
    <t>301</t>
  </si>
  <si>
    <t>الدور الثالث</t>
  </si>
  <si>
    <t>جناح فندقي إطلالة الأهرامات</t>
  </si>
  <si>
    <t>David Miller (Booking.com)</t>
  </si>
  <si>
    <t>2026-08-12</t>
  </si>
  <si>
    <t>2026-08-19</t>
  </si>
  <si>
    <t>VIP - عشاء روف مجهز</t>
  </si>
  <si>
    <t>302</t>
  </si>
  <si>
    <t>303</t>
  </si>
  <si>
    <t>304</t>
  </si>
  <si>
    <t>غرفة ثلاثية قياسية</t>
  </si>
  <si>
    <t>خالد إبراهيم (واتساب)</t>
  </si>
  <si>
    <t>وصول متأخر</t>
  </si>
  <si>
    <t>305</t>
  </si>
  <si>
    <t>306</t>
  </si>
  <si>
    <t>401</t>
  </si>
  <si>
    <t>الروف - الدور الرابع</t>
  </si>
  <si>
    <t>جناح الروف الملكي بفراندا الأهرامات</t>
  </si>
  <si>
    <t>Pierre Dupont (Direct Agent)</t>
  </si>
  <si>
    <t>2026-08-10</t>
  </si>
  <si>
    <t>توصيل مطار مجاني</t>
  </si>
  <si>
    <t>402</t>
  </si>
  <si>
    <t>غرفة روف إطلالة الأهرامات</t>
  </si>
  <si>
    <t>403</t>
  </si>
  <si>
    <t>تجهيز لمحيط الروف</t>
  </si>
  <si>
    <t>404</t>
  </si>
  <si>
    <t>غرفة ثلاثية روف</t>
  </si>
  <si>
    <t>405</t>
  </si>
  <si>
    <t>غرفة مفردة روف</t>
  </si>
  <si>
    <t>406</t>
  </si>
  <si>
    <t>غرفة مزدوجة روف</t>
  </si>
  <si>
    <t>📋 سجل الحجوزات والتسكين اليومي الشامل — فندق هينو الأهرامات</t>
  </si>
  <si>
    <t>رقم الحجز</t>
  </si>
  <si>
    <t>اسم النزيل</t>
  </si>
  <si>
    <t>الجنسية / الهوية</t>
  </si>
  <si>
    <t>رقم الهاتف / الواتساب</t>
  </si>
  <si>
    <t>مصدر الحجز</t>
  </si>
  <si>
    <t>عدد الليالي</t>
  </si>
  <si>
    <t>سعر الليلة</t>
  </si>
  <si>
    <t>إجمالي قيمة الإقامة</t>
  </si>
  <si>
    <t>المبلغ المدفوع (مقدم)</t>
  </si>
  <si>
    <t>المتبقي للسداد</t>
  </si>
  <si>
    <t>حالة السداد</t>
  </si>
  <si>
    <t>ملاحظات خاصة</t>
  </si>
  <si>
    <t>RES-2026-001</t>
  </si>
  <si>
    <t>John Smith</t>
  </si>
  <si>
    <t>أمركي - Passport 98234</t>
  </si>
  <si>
    <t>+1 555 0192</t>
  </si>
  <si>
    <t>Booking.com</t>
  </si>
  <si>
    <t>مسدد بالكامل</t>
  </si>
  <si>
    <t>طلب سرير أطفال</t>
  </si>
  <si>
    <t>RES-2026-002</t>
  </si>
  <si>
    <t>أحمد علي محمود</t>
  </si>
  <si>
    <t>مصري - 298010112345</t>
  </si>
  <si>
    <t>01012345678</t>
  </si>
  <si>
    <t>حجز مباشر</t>
  </si>
  <si>
    <t>متبقي جزء</t>
  </si>
  <si>
    <t>متبقي 600 جـ عند المغادرة</t>
  </si>
  <si>
    <t>RES-2026-003</t>
  </si>
  <si>
    <t>Marco Rossi</t>
  </si>
  <si>
    <t>إيطالي - Passport IT8821</t>
  </si>
  <si>
    <t>+39 06 6982</t>
  </si>
  <si>
    <t>Expedia</t>
  </si>
  <si>
    <t>إطلالة الأهرامات</t>
  </si>
  <si>
    <t>RES-2026-004</t>
  </si>
  <si>
    <t>Sarah Jenkins</t>
  </si>
  <si>
    <t>بريطاني - Passport UK1192</t>
  </si>
  <si>
    <t>+44 20 7946</t>
  </si>
  <si>
    <t>شامل الإفطار</t>
  </si>
  <si>
    <t>RES-2026-005</t>
  </si>
  <si>
    <t>عائلة محمود حسان</t>
  </si>
  <si>
    <t>مصري - 28504049876</t>
  </si>
  <si>
    <t>01223344556</t>
  </si>
  <si>
    <t>RES-2026-006</t>
  </si>
  <si>
    <t>David Miller</t>
  </si>
  <si>
    <t>كندي - Passport CA9912</t>
  </si>
  <si>
    <t>+1 416 555</t>
  </si>
  <si>
    <t>جناح فندقي VIP</t>
  </si>
  <si>
    <t>RES-2026-007</t>
  </si>
  <si>
    <t>Pierre Dupont</t>
  </si>
  <si>
    <t>فرنسي - Passport FR7732</t>
  </si>
  <si>
    <t>+33 1 4268</t>
  </si>
  <si>
    <t>وكيل سياحي</t>
  </si>
  <si>
    <t>جناح الروف الملكي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</si>
</sst>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&quot; جـ&quot;"/>
  </numFmts>
  <fonts count="10" x14ac:knownFonts="1">
    <font>
      <color theme="1"/>
      <family val="2"/>
      <scheme val="minor"/>
      <sz val="11"/>
      <name val="Calibri"/>
    </font>
    <font>
      <b/>
      <color rgb="FFFFFFFF"/>
      <sz val="14"/>
      <name val="Arial"/>
    </font>
    <font>
      <b/>
      <color rgb="FF1F4E78"/>
      <sz val="10"/>
      <name val="Arial"/>
    </font>
    <font>
      <b/>
      <color rgb="FFFFFFFF"/>
      <sz val="9.5"/>
      <name val="Arial"/>
    </font>
    <font>
      <sz val="9"/>
      <name val="Arial"/>
    </font>
    <font>
      <b/>
      <color rgb="FF276749"/>
      <sz val="9.5"/>
      <name val="Arial"/>
    </font>
    <font>
      <b/>
      <color rgb="FF9B2C2C"/>
      <sz val="9.5"/>
      <name val="Arial"/>
    </font>
    <font>
      <b/>
      <color rgb="FF975A16"/>
      <sz val="9.5"/>
      <name val="Arial"/>
    </font>
    <font>
      <b/>
      <color rgb="FFC05621"/>
      <sz val="9.5"/>
      <name val="Arial"/>
    </font>
    <font>
      <b/>
      <color rgb="FFC53030"/>
      <sz val="9"/>
      <name val="Arial"/>
    </font>
  </fonts>
  <fills count="11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2F4F8"/>
      </patternFill>
    </fill>
    <fill>
      <patternFill patternType="solid">
        <fgColor rgb="FF2F5597"/>
      </patternFill>
    </fill>
    <fill>
      <patternFill patternType="solid">
        <fgColor rgb="F9FAFB"/>
      </patternFill>
    </fill>
    <fill>
      <patternFill patternType="solid">
        <fgColor rgb="C6F6D5"/>
      </patternFill>
    </fill>
    <fill>
      <patternFill patternType="solid">
        <fgColor rgb="FFFFFF"/>
      </patternFill>
    </fill>
    <fill>
      <patternFill patternType="solid">
        <fgColor rgb="FED7D7"/>
      </patternFill>
    </fill>
    <fill>
      <patternFill patternType="solid">
        <fgColor rgb="FEFCBF"/>
      </patternFill>
    </fill>
    <fill>
      <patternFill patternType="solid">
        <fgColor rgb="FEEBC8"/>
      </patternFill>
    </fill>
  </fills>
  <borders count="4">
    <border>
      <left/>
      <right/>
      <top/>
      <bottom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medium"/>
      <diagonal/>
    </border>
    <border>
      <left style="thin">
        <color rgb="E5E7EB"/>
      </left>
      <right style="thin">
        <color rgb="E5E7EB"/>
      </right>
      <top style="thin">
        <color rgb="E5E7EB"/>
      </top>
      <bottom style="thin">
        <color rgb="E5E7EB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right" vertical="center"/>
    </xf>
    <xf numFmtId="0" fontId="5" fillId="6" borderId="3" xfId="0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center" vertical="center"/>
    </xf>
    <xf numFmtId="0" fontId="4" fillId="7" borderId="3" xfId="0" applyFont="1" applyFill="1" applyBorder="1" applyAlignment="1">
      <alignment horizontal="right" vertical="center"/>
    </xf>
    <xf numFmtId="0" fontId="6" fillId="8" borderId="3" xfId="0" applyFont="1" applyFill="1" applyBorder="1" applyAlignment="1">
      <alignment horizontal="center" vertical="center"/>
    </xf>
    <xf numFmtId="164" fontId="4" fillId="7" borderId="3" xfId="0" applyNumberFormat="1" applyFont="1" applyFill="1" applyBorder="1" applyAlignment="1">
      <alignment horizontal="center" vertical="center"/>
    </xf>
    <xf numFmtId="0" fontId="7" fillId="9" borderId="3" xfId="0" applyFont="1" applyFill="1" applyBorder="1" applyAlignment="1">
      <alignment horizontal="center" vertical="center"/>
    </xf>
    <xf numFmtId="0" fontId="8" fillId="10" borderId="3" xfId="0" applyFont="1" applyFill="1" applyBorder="1" applyAlignment="1">
      <alignment horizontal="center" vertical="center"/>
    </xf>
    <xf numFmtId="164" fontId="4" fillId="5" borderId="3" xfId="0" applyNumberFormat="1" applyFont="1" applyFill="1" applyBorder="1" applyAlignment="1">
      <alignment horizontal="right" vertical="center"/>
    </xf>
    <xf numFmtId="164" fontId="9" fillId="5" borderId="3" xfId="0" applyNumberFormat="1" applyFont="1" applyFill="1" applyBorder="1" applyAlignment="1">
      <alignment horizontal="right" vertical="center"/>
    </xf>
    <xf numFmtId="164" fontId="4" fillId="7" borderId="3" xfId="0" applyNumberFormat="1" applyFont="1" applyFill="1" applyBorder="1" applyAlignment="1">
      <alignment horizontal="right" vertical="center"/>
    </xf>
    <xf numFmtId="164" fontId="9" fillId="7" borderId="3" xfId="0" applyNumberFormat="1" applyFont="1" applyFill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9"/>
  <sheetViews>
    <sheetView workbookViewId="0" rightToLeft="1"/>
  </sheetViews>
  <sheetFormatPr defaultRowHeight="15" outlineLevelRow="0" outlineLevelCol="0" x14ac:dyDescent="55"/>
  <cols>
    <col min="1" max="1" width="12" customWidth="1"/>
    <col min="2" max="2" width="16" customWidth="1"/>
    <col min="3" max="3" width="28" customWidth="1"/>
    <col min="4" max="4" width="12" customWidth="1"/>
    <col min="5" max="5" width="16" customWidth="1"/>
    <col min="6" max="6" width="24" customWidth="1"/>
    <col min="7" max="8" width="14" customWidth="1"/>
    <col min="9" max="9" width="16" customWidth="1"/>
    <col min="10" max="10" width="25" customWidth="1"/>
  </cols>
  <sheetData>
    <row r="1" ht="32" customHeight="1" spans="1:9" x14ac:dyDescent="0.25">
      <c r="A1" s="1" t="s">
        <v>0</v>
      </c>
      <c r="B1" s="1"/>
      <c r="C1" s="1"/>
      <c r="D1" s="1"/>
      <c r="E1" s="1"/>
      <c r="F1" s="1"/>
      <c r="G1" s="1"/>
      <c r="H1" s="1"/>
      <c r="I1" s="1"/>
    </row>
    <row r="2" ht="25" customHeight="1" spans="1:8" x14ac:dyDescent="0.25">
      <c r="A2" s="2" t="s">
        <v>1</v>
      </c>
      <c r="B2" s="2"/>
      <c r="C2" s="2" t="s">
        <v>2</v>
      </c>
      <c r="D2" s="2"/>
      <c r="E2" s="2" t="s">
        <v>3</v>
      </c>
      <c r="F2" s="2"/>
      <c r="G2" s="2" t="s">
        <v>4</v>
      </c>
      <c r="H2" s="2"/>
    </row>
    <row r="4" ht="26" customHeight="1" spans="1:10" x14ac:dyDescent="0.25">
      <c r="A4" s="3" t="s">
        <v>5</v>
      </c>
      <c r="B4" s="3" t="s">
        <v>6</v>
      </c>
      <c r="C4" s="3" t="s">
        <v>7</v>
      </c>
      <c r="D4" s="3" t="s">
        <v>8</v>
      </c>
      <c r="E4" s="3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</row>
    <row r="5" ht="22" customHeight="1" spans="1:10" x14ac:dyDescent="0.25">
      <c r="A5" s="4" t="s">
        <v>15</v>
      </c>
      <c r="B5" s="5" t="s">
        <v>16</v>
      </c>
      <c r="C5" s="5" t="s">
        <v>17</v>
      </c>
      <c r="D5" s="4">
        <v>2</v>
      </c>
      <c r="E5" s="6" t="s">
        <v>18</v>
      </c>
      <c r="F5" s="5" t="s">
        <v>19</v>
      </c>
      <c r="G5" s="4" t="s">
        <v>19</v>
      </c>
      <c r="H5" s="4" t="s">
        <v>19</v>
      </c>
      <c r="I5" s="7">
        <v>1200</v>
      </c>
      <c r="J5" s="5" t="s">
        <v>20</v>
      </c>
    </row>
    <row r="6" ht="22" customHeight="1" spans="1:10" x14ac:dyDescent="0.25">
      <c r="A6" s="8" t="s">
        <v>21</v>
      </c>
      <c r="B6" s="9" t="s">
        <v>16</v>
      </c>
      <c r="C6" s="9" t="s">
        <v>22</v>
      </c>
      <c r="D6" s="8">
        <v>3</v>
      </c>
      <c r="E6" s="10" t="s">
        <v>23</v>
      </c>
      <c r="F6" s="9" t="s">
        <v>24</v>
      </c>
      <c r="G6" s="8" t="s">
        <v>25</v>
      </c>
      <c r="H6" s="8" t="s">
        <v>26</v>
      </c>
      <c r="I6" s="11">
        <v>1500</v>
      </c>
      <c r="J6" s="9" t="s">
        <v>27</v>
      </c>
    </row>
    <row r="7" ht="22" customHeight="1" spans="1:10" x14ac:dyDescent="0.25">
      <c r="A7" s="4" t="s">
        <v>28</v>
      </c>
      <c r="B7" s="5" t="s">
        <v>16</v>
      </c>
      <c r="C7" s="5" t="s">
        <v>29</v>
      </c>
      <c r="D7" s="4">
        <v>1</v>
      </c>
      <c r="E7" s="12" t="s">
        <v>30</v>
      </c>
      <c r="F7" s="5" t="s">
        <v>19</v>
      </c>
      <c r="G7" s="4" t="s">
        <v>19</v>
      </c>
      <c r="H7" s="4" t="s">
        <v>19</v>
      </c>
      <c r="I7" s="7">
        <v>900</v>
      </c>
      <c r="J7" s="5" t="s">
        <v>31</v>
      </c>
    </row>
    <row r="8" ht="22" customHeight="1" spans="1:10" x14ac:dyDescent="0.25">
      <c r="A8" s="8" t="s">
        <v>32</v>
      </c>
      <c r="B8" s="9" t="s">
        <v>16</v>
      </c>
      <c r="C8" s="9" t="s">
        <v>17</v>
      </c>
      <c r="D8" s="8">
        <v>2</v>
      </c>
      <c r="E8" s="6" t="s">
        <v>18</v>
      </c>
      <c r="F8" s="9" t="s">
        <v>19</v>
      </c>
      <c r="G8" s="8" t="s">
        <v>19</v>
      </c>
      <c r="H8" s="8" t="s">
        <v>19</v>
      </c>
      <c r="I8" s="11">
        <v>1200</v>
      </c>
      <c r="J8" s="9" t="s">
        <v>19</v>
      </c>
    </row>
    <row r="9" ht="22" customHeight="1" spans="1:10" x14ac:dyDescent="0.25">
      <c r="A9" s="4" t="s">
        <v>33</v>
      </c>
      <c r="B9" s="5" t="s">
        <v>16</v>
      </c>
      <c r="C9" s="5" t="s">
        <v>17</v>
      </c>
      <c r="D9" s="4">
        <v>2</v>
      </c>
      <c r="E9" s="10" t="s">
        <v>23</v>
      </c>
      <c r="F9" s="5" t="s">
        <v>34</v>
      </c>
      <c r="G9" s="4" t="s">
        <v>35</v>
      </c>
      <c r="H9" s="4" t="s">
        <v>36</v>
      </c>
      <c r="I9" s="7">
        <v>1200</v>
      </c>
      <c r="J9" s="5" t="s">
        <v>37</v>
      </c>
    </row>
    <row r="10" ht="22" customHeight="1" spans="1:10" x14ac:dyDescent="0.25">
      <c r="A10" s="8" t="s">
        <v>38</v>
      </c>
      <c r="B10" s="9" t="s">
        <v>16</v>
      </c>
      <c r="C10" s="9" t="s">
        <v>22</v>
      </c>
      <c r="D10" s="8">
        <v>3</v>
      </c>
      <c r="E10" s="6" t="s">
        <v>18</v>
      </c>
      <c r="F10" s="9" t="s">
        <v>19</v>
      </c>
      <c r="G10" s="8" t="s">
        <v>19</v>
      </c>
      <c r="H10" s="8" t="s">
        <v>19</v>
      </c>
      <c r="I10" s="11">
        <v>1500</v>
      </c>
      <c r="J10" s="9" t="s">
        <v>19</v>
      </c>
    </row>
    <row r="11" ht="22" customHeight="1" spans="1:10" x14ac:dyDescent="0.25">
      <c r="A11" s="4" t="s">
        <v>39</v>
      </c>
      <c r="B11" s="5" t="s">
        <v>40</v>
      </c>
      <c r="C11" s="5" t="s">
        <v>41</v>
      </c>
      <c r="D11" s="4">
        <v>2</v>
      </c>
      <c r="E11" s="10" t="s">
        <v>23</v>
      </c>
      <c r="F11" s="5" t="s">
        <v>42</v>
      </c>
      <c r="G11" s="4" t="s">
        <v>43</v>
      </c>
      <c r="H11" s="4" t="s">
        <v>44</v>
      </c>
      <c r="I11" s="7">
        <v>1800</v>
      </c>
      <c r="J11" s="5" t="s">
        <v>45</v>
      </c>
    </row>
    <row r="12" ht="22" customHeight="1" spans="1:10" x14ac:dyDescent="0.25">
      <c r="A12" s="8" t="s">
        <v>46</v>
      </c>
      <c r="B12" s="9" t="s">
        <v>40</v>
      </c>
      <c r="C12" s="9" t="s">
        <v>41</v>
      </c>
      <c r="D12" s="8">
        <v>2</v>
      </c>
      <c r="E12" s="10" t="s">
        <v>23</v>
      </c>
      <c r="F12" s="9" t="s">
        <v>47</v>
      </c>
      <c r="G12" s="8" t="s">
        <v>35</v>
      </c>
      <c r="H12" s="8" t="s">
        <v>48</v>
      </c>
      <c r="I12" s="11">
        <v>1800</v>
      </c>
      <c r="J12" s="9" t="s">
        <v>49</v>
      </c>
    </row>
    <row r="13" ht="22" customHeight="1" spans="1:10" x14ac:dyDescent="0.25">
      <c r="A13" s="4" t="s">
        <v>50</v>
      </c>
      <c r="B13" s="5" t="s">
        <v>40</v>
      </c>
      <c r="C13" s="5" t="s">
        <v>51</v>
      </c>
      <c r="D13" s="4">
        <v>2</v>
      </c>
      <c r="E13" s="6" t="s">
        <v>18</v>
      </c>
      <c r="F13" s="5" t="s">
        <v>19</v>
      </c>
      <c r="G13" s="4" t="s">
        <v>19</v>
      </c>
      <c r="H13" s="4" t="s">
        <v>19</v>
      </c>
      <c r="I13" s="7">
        <v>1300</v>
      </c>
      <c r="J13" s="5" t="s">
        <v>19</v>
      </c>
    </row>
    <row r="14" ht="22" customHeight="1" spans="1:10" x14ac:dyDescent="0.25">
      <c r="A14" s="8" t="s">
        <v>52</v>
      </c>
      <c r="B14" s="9" t="s">
        <v>40</v>
      </c>
      <c r="C14" s="9" t="s">
        <v>51</v>
      </c>
      <c r="D14" s="8">
        <v>2</v>
      </c>
      <c r="E14" s="13" t="s">
        <v>53</v>
      </c>
      <c r="F14" s="9" t="s">
        <v>19</v>
      </c>
      <c r="G14" s="8" t="s">
        <v>19</v>
      </c>
      <c r="H14" s="8" t="s">
        <v>19</v>
      </c>
      <c r="I14" s="11">
        <v>1300</v>
      </c>
      <c r="J14" s="9" t="s">
        <v>54</v>
      </c>
    </row>
    <row r="15" ht="22" customHeight="1" spans="1:10" x14ac:dyDescent="0.25">
      <c r="A15" s="4" t="s">
        <v>55</v>
      </c>
      <c r="B15" s="5" t="s">
        <v>40</v>
      </c>
      <c r="C15" s="5" t="s">
        <v>56</v>
      </c>
      <c r="D15" s="4">
        <v>3</v>
      </c>
      <c r="E15" s="10" t="s">
        <v>23</v>
      </c>
      <c r="F15" s="5" t="s">
        <v>57</v>
      </c>
      <c r="G15" s="4" t="s">
        <v>25</v>
      </c>
      <c r="H15" s="4" t="s">
        <v>36</v>
      </c>
      <c r="I15" s="7">
        <v>1600</v>
      </c>
      <c r="J15" s="5" t="s">
        <v>58</v>
      </c>
    </row>
    <row r="16" ht="22" customHeight="1" spans="1:10" x14ac:dyDescent="0.25">
      <c r="A16" s="8" t="s">
        <v>59</v>
      </c>
      <c r="B16" s="9" t="s">
        <v>40</v>
      </c>
      <c r="C16" s="9" t="s">
        <v>60</v>
      </c>
      <c r="D16" s="8">
        <v>1</v>
      </c>
      <c r="E16" s="6" t="s">
        <v>18</v>
      </c>
      <c r="F16" s="9" t="s">
        <v>19</v>
      </c>
      <c r="G16" s="8" t="s">
        <v>19</v>
      </c>
      <c r="H16" s="8" t="s">
        <v>19</v>
      </c>
      <c r="I16" s="11">
        <v>950</v>
      </c>
      <c r="J16" s="9" t="s">
        <v>19</v>
      </c>
    </row>
    <row r="17" ht="22" customHeight="1" spans="1:10" x14ac:dyDescent="0.25">
      <c r="A17" s="4" t="s">
        <v>61</v>
      </c>
      <c r="B17" s="5" t="s">
        <v>40</v>
      </c>
      <c r="C17" s="5" t="s">
        <v>51</v>
      </c>
      <c r="D17" s="4">
        <v>2</v>
      </c>
      <c r="E17" s="12" t="s">
        <v>30</v>
      </c>
      <c r="F17" s="5" t="s">
        <v>19</v>
      </c>
      <c r="G17" s="4" t="s">
        <v>19</v>
      </c>
      <c r="H17" s="4" t="s">
        <v>19</v>
      </c>
      <c r="I17" s="7">
        <v>1300</v>
      </c>
      <c r="J17" s="5" t="s">
        <v>62</v>
      </c>
    </row>
    <row r="18" ht="22" customHeight="1" spans="1:10" x14ac:dyDescent="0.25">
      <c r="A18" s="8" t="s">
        <v>63</v>
      </c>
      <c r="B18" s="9" t="s">
        <v>64</v>
      </c>
      <c r="C18" s="9" t="s">
        <v>65</v>
      </c>
      <c r="D18" s="8">
        <v>3</v>
      </c>
      <c r="E18" s="10" t="s">
        <v>23</v>
      </c>
      <c r="F18" s="9" t="s">
        <v>66</v>
      </c>
      <c r="G18" s="8" t="s">
        <v>67</v>
      </c>
      <c r="H18" s="8" t="s">
        <v>68</v>
      </c>
      <c r="I18" s="11">
        <v>2200</v>
      </c>
      <c r="J18" s="9" t="s">
        <v>69</v>
      </c>
    </row>
    <row r="19" ht="22" customHeight="1" spans="1:10" x14ac:dyDescent="0.25">
      <c r="A19" s="4" t="s">
        <v>70</v>
      </c>
      <c r="B19" s="5" t="s">
        <v>64</v>
      </c>
      <c r="C19" s="5" t="s">
        <v>41</v>
      </c>
      <c r="D19" s="4">
        <v>2</v>
      </c>
      <c r="E19" s="6" t="s">
        <v>18</v>
      </c>
      <c r="F19" s="5" t="s">
        <v>19</v>
      </c>
      <c r="G19" s="4" t="s">
        <v>19</v>
      </c>
      <c r="H19" s="4" t="s">
        <v>19</v>
      </c>
      <c r="I19" s="7">
        <v>1800</v>
      </c>
      <c r="J19" s="5" t="s">
        <v>19</v>
      </c>
    </row>
    <row r="20" ht="22" customHeight="1" spans="1:10" x14ac:dyDescent="0.25">
      <c r="A20" s="8" t="s">
        <v>71</v>
      </c>
      <c r="B20" s="9" t="s">
        <v>64</v>
      </c>
      <c r="C20" s="9" t="s">
        <v>51</v>
      </c>
      <c r="D20" s="8">
        <v>2</v>
      </c>
      <c r="E20" s="6" t="s">
        <v>18</v>
      </c>
      <c r="F20" s="9" t="s">
        <v>19</v>
      </c>
      <c r="G20" s="8" t="s">
        <v>19</v>
      </c>
      <c r="H20" s="8" t="s">
        <v>19</v>
      </c>
      <c r="I20" s="11">
        <v>1300</v>
      </c>
      <c r="J20" s="9" t="s">
        <v>19</v>
      </c>
    </row>
    <row r="21" ht="22" customHeight="1" spans="1:10" x14ac:dyDescent="0.25">
      <c r="A21" s="4" t="s">
        <v>72</v>
      </c>
      <c r="B21" s="5" t="s">
        <v>64</v>
      </c>
      <c r="C21" s="5" t="s">
        <v>73</v>
      </c>
      <c r="D21" s="4">
        <v>3</v>
      </c>
      <c r="E21" s="10" t="s">
        <v>23</v>
      </c>
      <c r="F21" s="5" t="s">
        <v>74</v>
      </c>
      <c r="G21" s="4" t="s">
        <v>35</v>
      </c>
      <c r="H21" s="4" t="s">
        <v>44</v>
      </c>
      <c r="I21" s="7">
        <v>1600</v>
      </c>
      <c r="J21" s="5" t="s">
        <v>75</v>
      </c>
    </row>
    <row r="22" ht="22" customHeight="1" spans="1:10" x14ac:dyDescent="0.25">
      <c r="A22" s="8" t="s">
        <v>76</v>
      </c>
      <c r="B22" s="9" t="s">
        <v>64</v>
      </c>
      <c r="C22" s="9" t="s">
        <v>60</v>
      </c>
      <c r="D22" s="8">
        <v>1</v>
      </c>
      <c r="E22" s="6" t="s">
        <v>18</v>
      </c>
      <c r="F22" s="9" t="s">
        <v>19</v>
      </c>
      <c r="G22" s="8" t="s">
        <v>19</v>
      </c>
      <c r="H22" s="8" t="s">
        <v>19</v>
      </c>
      <c r="I22" s="11">
        <v>950</v>
      </c>
      <c r="J22" s="9" t="s">
        <v>19</v>
      </c>
    </row>
    <row r="23" ht="22" customHeight="1" spans="1:10" x14ac:dyDescent="0.25">
      <c r="A23" s="4" t="s">
        <v>77</v>
      </c>
      <c r="B23" s="5" t="s">
        <v>64</v>
      </c>
      <c r="C23" s="5" t="s">
        <v>51</v>
      </c>
      <c r="D23" s="4">
        <v>2</v>
      </c>
      <c r="E23" s="6" t="s">
        <v>18</v>
      </c>
      <c r="F23" s="5" t="s">
        <v>19</v>
      </c>
      <c r="G23" s="4" t="s">
        <v>19</v>
      </c>
      <c r="H23" s="4" t="s">
        <v>19</v>
      </c>
      <c r="I23" s="7">
        <v>1300</v>
      </c>
      <c r="J23" s="5" t="s">
        <v>19</v>
      </c>
    </row>
    <row r="24" ht="22" customHeight="1" spans="1:10" x14ac:dyDescent="0.25">
      <c r="A24" s="8" t="s">
        <v>78</v>
      </c>
      <c r="B24" s="9" t="s">
        <v>79</v>
      </c>
      <c r="C24" s="9" t="s">
        <v>80</v>
      </c>
      <c r="D24" s="8">
        <v>2</v>
      </c>
      <c r="E24" s="10" t="s">
        <v>23</v>
      </c>
      <c r="F24" s="9" t="s">
        <v>81</v>
      </c>
      <c r="G24" s="8" t="s">
        <v>82</v>
      </c>
      <c r="H24" s="8" t="s">
        <v>36</v>
      </c>
      <c r="I24" s="11">
        <v>2500</v>
      </c>
      <c r="J24" s="9" t="s">
        <v>83</v>
      </c>
    </row>
    <row r="25" ht="22" customHeight="1" spans="1:10" x14ac:dyDescent="0.25">
      <c r="A25" s="4" t="s">
        <v>84</v>
      </c>
      <c r="B25" s="5" t="s">
        <v>79</v>
      </c>
      <c r="C25" s="5" t="s">
        <v>85</v>
      </c>
      <c r="D25" s="4">
        <v>2</v>
      </c>
      <c r="E25" s="6" t="s">
        <v>18</v>
      </c>
      <c r="F25" s="5" t="s">
        <v>19</v>
      </c>
      <c r="G25" s="4" t="s">
        <v>19</v>
      </c>
      <c r="H25" s="4" t="s">
        <v>19</v>
      </c>
      <c r="I25" s="7">
        <v>1900</v>
      </c>
      <c r="J25" s="5" t="s">
        <v>19</v>
      </c>
    </row>
    <row r="26" ht="22" customHeight="1" spans="1:10" x14ac:dyDescent="0.25">
      <c r="A26" s="8" t="s">
        <v>86</v>
      </c>
      <c r="B26" s="9" t="s">
        <v>79</v>
      </c>
      <c r="C26" s="9" t="s">
        <v>85</v>
      </c>
      <c r="D26" s="8">
        <v>2</v>
      </c>
      <c r="E26" s="12" t="s">
        <v>30</v>
      </c>
      <c r="F26" s="9" t="s">
        <v>19</v>
      </c>
      <c r="G26" s="8" t="s">
        <v>19</v>
      </c>
      <c r="H26" s="8" t="s">
        <v>19</v>
      </c>
      <c r="I26" s="11">
        <v>1900</v>
      </c>
      <c r="J26" s="9" t="s">
        <v>87</v>
      </c>
    </row>
    <row r="27" ht="22" customHeight="1" spans="1:10" x14ac:dyDescent="0.25">
      <c r="A27" s="4" t="s">
        <v>88</v>
      </c>
      <c r="B27" s="5" t="s">
        <v>79</v>
      </c>
      <c r="C27" s="5" t="s">
        <v>89</v>
      </c>
      <c r="D27" s="4">
        <v>3</v>
      </c>
      <c r="E27" s="6" t="s">
        <v>18</v>
      </c>
      <c r="F27" s="5" t="s">
        <v>19</v>
      </c>
      <c r="G27" s="4" t="s">
        <v>19</v>
      </c>
      <c r="H27" s="4" t="s">
        <v>19</v>
      </c>
      <c r="I27" s="7">
        <v>1700</v>
      </c>
      <c r="J27" s="5" t="s">
        <v>19</v>
      </c>
    </row>
    <row r="28" ht="22" customHeight="1" spans="1:10" x14ac:dyDescent="0.25">
      <c r="A28" s="8" t="s">
        <v>90</v>
      </c>
      <c r="B28" s="9" t="s">
        <v>79</v>
      </c>
      <c r="C28" s="9" t="s">
        <v>91</v>
      </c>
      <c r="D28" s="8">
        <v>1</v>
      </c>
      <c r="E28" s="6" t="s">
        <v>18</v>
      </c>
      <c r="F28" s="9" t="s">
        <v>19</v>
      </c>
      <c r="G28" s="8" t="s">
        <v>19</v>
      </c>
      <c r="H28" s="8" t="s">
        <v>19</v>
      </c>
      <c r="I28" s="11">
        <v>1000</v>
      </c>
      <c r="J28" s="9" t="s">
        <v>19</v>
      </c>
    </row>
    <row r="29" ht="22" customHeight="1" spans="1:10" x14ac:dyDescent="0.25">
      <c r="A29" s="4" t="s">
        <v>92</v>
      </c>
      <c r="B29" s="5" t="s">
        <v>79</v>
      </c>
      <c r="C29" s="5" t="s">
        <v>93</v>
      </c>
      <c r="D29" s="4">
        <v>2</v>
      </c>
      <c r="E29" s="6" t="s">
        <v>18</v>
      </c>
      <c r="F29" s="5" t="s">
        <v>19</v>
      </c>
      <c r="G29" s="4" t="s">
        <v>19</v>
      </c>
      <c r="H29" s="4" t="s">
        <v>19</v>
      </c>
      <c r="I29" s="7">
        <v>1400</v>
      </c>
      <c r="J29" s="5" t="s">
        <v>19</v>
      </c>
    </row>
  </sheetData>
  <mergeCells count="5">
    <mergeCell ref="A1:I1"/>
    <mergeCell ref="A2:B2"/>
    <mergeCell ref="C2:D2"/>
    <mergeCell ref="E2:F2"/>
    <mergeCell ref="G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0"/>
  <sheetViews>
    <sheetView workbookViewId="0" rightToLeft="1"/>
  </sheetViews>
  <sheetFormatPr defaultRowHeight="15" outlineLevelRow="0" outlineLevelCol="0" x14ac:dyDescent="55"/>
  <cols>
    <col min="1" max="1" width="15" customWidth="1"/>
    <col min="2" max="2" width="22" customWidth="1"/>
    <col min="3" max="3" width="24" customWidth="1"/>
    <col min="4" max="4" width="16" customWidth="1"/>
    <col min="5" max="5" width="15" customWidth="1"/>
    <col min="6" max="6" width="12" customWidth="1"/>
    <col min="7" max="8" width="14" customWidth="1"/>
    <col min="9" max="9" width="12" customWidth="1"/>
    <col min="10" max="10" width="14" customWidth="1"/>
    <col min="11" max="13" width="16" customWidth="1"/>
    <col min="14" max="14" width="15" customWidth="1"/>
    <col min="15" max="15" width="24" customWidth="1"/>
  </cols>
  <sheetData>
    <row r="1" ht="30" customHeight="1" spans="1:15" x14ac:dyDescent="0.25">
      <c r="A1" s="1" t="s">
        <v>94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3" ht="26" customHeight="1" spans="1:15" x14ac:dyDescent="0.25">
      <c r="A3" s="3" t="s">
        <v>95</v>
      </c>
      <c r="B3" s="3" t="s">
        <v>96</v>
      </c>
      <c r="C3" s="3" t="s">
        <v>97</v>
      </c>
      <c r="D3" s="3" t="s">
        <v>98</v>
      </c>
      <c r="E3" s="3" t="s">
        <v>99</v>
      </c>
      <c r="F3" s="3" t="s">
        <v>5</v>
      </c>
      <c r="G3" s="3" t="s">
        <v>11</v>
      </c>
      <c r="H3" s="3" t="s">
        <v>12</v>
      </c>
      <c r="I3" s="3" t="s">
        <v>100</v>
      </c>
      <c r="J3" s="3" t="s">
        <v>101</v>
      </c>
      <c r="K3" s="3" t="s">
        <v>102</v>
      </c>
      <c r="L3" s="3" t="s">
        <v>103</v>
      </c>
      <c r="M3" s="3" t="s">
        <v>104</v>
      </c>
      <c r="N3" s="3" t="s">
        <v>105</v>
      </c>
      <c r="O3" s="3" t="s">
        <v>106</v>
      </c>
    </row>
    <row r="4" ht="22" customHeight="1" spans="1:15" x14ac:dyDescent="0.25">
      <c r="A4" s="4" t="s">
        <v>107</v>
      </c>
      <c r="B4" s="5" t="s">
        <v>108</v>
      </c>
      <c r="C4" s="5" t="s">
        <v>109</v>
      </c>
      <c r="D4" s="5" t="s">
        <v>110</v>
      </c>
      <c r="E4" s="4" t="s">
        <v>111</v>
      </c>
      <c r="F4" s="4" t="s">
        <v>21</v>
      </c>
      <c r="G4" s="4" t="s">
        <v>25</v>
      </c>
      <c r="H4" s="4" t="s">
        <v>26</v>
      </c>
      <c r="I4" s="4">
        <f>DATEVALUE(H4)-DATEVALUE(G4)</f>
      </c>
      <c r="J4" s="14">
        <v>1500</v>
      </c>
      <c r="K4" s="14">
        <f>I4*J4</f>
      </c>
      <c r="L4" s="14">
        <v>6000</v>
      </c>
      <c r="M4" s="15">
        <f>K4-L4</f>
      </c>
      <c r="N4" s="4" t="s">
        <v>112</v>
      </c>
      <c r="O4" s="5" t="s">
        <v>113</v>
      </c>
    </row>
    <row r="5" ht="22" customHeight="1" spans="1:15" x14ac:dyDescent="0.25">
      <c r="A5" s="8" t="s">
        <v>114</v>
      </c>
      <c r="B5" s="9" t="s">
        <v>115</v>
      </c>
      <c r="C5" s="9" t="s">
        <v>116</v>
      </c>
      <c r="D5" s="9" t="s">
        <v>117</v>
      </c>
      <c r="E5" s="8" t="s">
        <v>118</v>
      </c>
      <c r="F5" s="8" t="s">
        <v>33</v>
      </c>
      <c r="G5" s="8" t="s">
        <v>35</v>
      </c>
      <c r="H5" s="8" t="s">
        <v>36</v>
      </c>
      <c r="I5" s="8">
        <f>DATEVALUE(H5)-DATEVALUE(G5)</f>
      </c>
      <c r="J5" s="16">
        <v>1200</v>
      </c>
      <c r="K5" s="16">
        <f>I5*J5</f>
      </c>
      <c r="L5" s="16">
        <v>1800</v>
      </c>
      <c r="M5" s="17">
        <f>K5-L5</f>
      </c>
      <c r="N5" s="8" t="s">
        <v>119</v>
      </c>
      <c r="O5" s="9" t="s">
        <v>120</v>
      </c>
    </row>
    <row r="6" ht="22" customHeight="1" spans="1:15" x14ac:dyDescent="0.25">
      <c r="A6" s="4" t="s">
        <v>121</v>
      </c>
      <c r="B6" s="5" t="s">
        <v>122</v>
      </c>
      <c r="C6" s="5" t="s">
        <v>123</v>
      </c>
      <c r="D6" s="5" t="s">
        <v>124</v>
      </c>
      <c r="E6" s="4" t="s">
        <v>125</v>
      </c>
      <c r="F6" s="4" t="s">
        <v>39</v>
      </c>
      <c r="G6" s="4" t="s">
        <v>43</v>
      </c>
      <c r="H6" s="4" t="s">
        <v>44</v>
      </c>
      <c r="I6" s="4">
        <f>DATEVALUE(H6)-DATEVALUE(G6)</f>
      </c>
      <c r="J6" s="14">
        <v>1800</v>
      </c>
      <c r="K6" s="14">
        <f>I6*J6</f>
      </c>
      <c r="L6" s="14">
        <v>5400</v>
      </c>
      <c r="M6" s="15">
        <f>K6-L6</f>
      </c>
      <c r="N6" s="4" t="s">
        <v>112</v>
      </c>
      <c r="O6" s="5" t="s">
        <v>126</v>
      </c>
    </row>
    <row r="7" ht="22" customHeight="1" spans="1:15" x14ac:dyDescent="0.25">
      <c r="A7" s="8" t="s">
        <v>127</v>
      </c>
      <c r="B7" s="9" t="s">
        <v>128</v>
      </c>
      <c r="C7" s="9" t="s">
        <v>129</v>
      </c>
      <c r="D7" s="9" t="s">
        <v>130</v>
      </c>
      <c r="E7" s="8" t="s">
        <v>111</v>
      </c>
      <c r="F7" s="8" t="s">
        <v>46</v>
      </c>
      <c r="G7" s="8" t="s">
        <v>35</v>
      </c>
      <c r="H7" s="8" t="s">
        <v>48</v>
      </c>
      <c r="I7" s="8">
        <f>DATEVALUE(H7)-DATEVALUE(G7)</f>
      </c>
      <c r="J7" s="16">
        <v>1800</v>
      </c>
      <c r="K7" s="16">
        <f>I7*J7</f>
      </c>
      <c r="L7" s="16">
        <v>9000</v>
      </c>
      <c r="M7" s="17">
        <f>K7-L7</f>
      </c>
      <c r="N7" s="8" t="s">
        <v>112</v>
      </c>
      <c r="O7" s="9" t="s">
        <v>131</v>
      </c>
    </row>
    <row r="8" ht="22" customHeight="1" spans="1:15" x14ac:dyDescent="0.25">
      <c r="A8" s="4" t="s">
        <v>132</v>
      </c>
      <c r="B8" s="5" t="s">
        <v>133</v>
      </c>
      <c r="C8" s="5" t="s">
        <v>134</v>
      </c>
      <c r="D8" s="5" t="s">
        <v>135</v>
      </c>
      <c r="E8" s="4" t="s">
        <v>118</v>
      </c>
      <c r="F8" s="4" t="s">
        <v>55</v>
      </c>
      <c r="G8" s="4" t="s">
        <v>25</v>
      </c>
      <c r="H8" s="4" t="s">
        <v>36</v>
      </c>
      <c r="I8" s="4">
        <f>DATEVALUE(H8)-DATEVALUE(G8)</f>
      </c>
      <c r="J8" s="14">
        <v>1600</v>
      </c>
      <c r="K8" s="14">
        <f>I8*J8</f>
      </c>
      <c r="L8" s="14">
        <v>4800</v>
      </c>
      <c r="M8" s="15">
        <f>K8-L8</f>
      </c>
      <c r="N8" s="4" t="s">
        <v>112</v>
      </c>
      <c r="O8" s="5" t="s">
        <v>58</v>
      </c>
    </row>
    <row r="9" ht="22" customHeight="1" spans="1:15" x14ac:dyDescent="0.25">
      <c r="A9" s="8" t="s">
        <v>136</v>
      </c>
      <c r="B9" s="9" t="s">
        <v>137</v>
      </c>
      <c r="C9" s="9" t="s">
        <v>138</v>
      </c>
      <c r="D9" s="9" t="s">
        <v>139</v>
      </c>
      <c r="E9" s="8" t="s">
        <v>111</v>
      </c>
      <c r="F9" s="8" t="s">
        <v>63</v>
      </c>
      <c r="G9" s="8" t="s">
        <v>67</v>
      </c>
      <c r="H9" s="8" t="s">
        <v>68</v>
      </c>
      <c r="I9" s="8">
        <f>DATEVALUE(H9)-DATEVALUE(G9)</f>
      </c>
      <c r="J9" s="16">
        <v>2200</v>
      </c>
      <c r="K9" s="16">
        <f>I9*J9</f>
      </c>
      <c r="L9" s="16">
        <v>15400</v>
      </c>
      <c r="M9" s="17">
        <f>K9-L9</f>
      </c>
      <c r="N9" s="8" t="s">
        <v>112</v>
      </c>
      <c r="O9" s="9" t="s">
        <v>140</v>
      </c>
    </row>
    <row r="10" ht="22" customHeight="1" spans="1:15" x14ac:dyDescent="0.25">
      <c r="A10" s="4" t="s">
        <v>141</v>
      </c>
      <c r="B10" s="5" t="s">
        <v>142</v>
      </c>
      <c r="C10" s="5" t="s">
        <v>143</v>
      </c>
      <c r="D10" s="5" t="s">
        <v>144</v>
      </c>
      <c r="E10" s="4" t="s">
        <v>145</v>
      </c>
      <c r="F10" s="4" t="s">
        <v>78</v>
      </c>
      <c r="G10" s="4" t="s">
        <v>82</v>
      </c>
      <c r="H10" s="4" t="s">
        <v>36</v>
      </c>
      <c r="I10" s="4">
        <f>DATEVALUE(H10)-DATEVALUE(G10)</f>
      </c>
      <c r="J10" s="14">
        <v>2500</v>
      </c>
      <c r="K10" s="14">
        <f>I10*J10</f>
      </c>
      <c r="L10" s="14">
        <v>17500</v>
      </c>
      <c r="M10" s="15">
        <f>K10-L10</f>
      </c>
      <c r="N10" s="4" t="s">
        <v>112</v>
      </c>
      <c r="O10" s="5" t="s">
        <v>146</v>
      </c>
    </row>
  </sheetData>
  <mergeCells count="1">
    <mergeCell ref="A1:O1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حالة الغرف الـ 25 (Room Rack)</vt:lpstr>
      <vt:lpstr>سجل الحجوزات والتسكين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Henu Hotel Pyramids PMS</dc:creator>
  <dc:title/>
  <dc:subject/>
  <dc:description/>
  <cp:keywords/>
  <cp:category/>
  <cp:lastModifiedBy>Unknown</cp:lastModifiedBy>
  <dcterms:created xsi:type="dcterms:W3CDTF">2026-08-15T11:43:56Z</dcterms:created>
  <dcterms:modified xsi:type="dcterms:W3CDTF">2026-08-15T11:43:56Z</dcterms:modified>
</cp:coreProperties>
</file>