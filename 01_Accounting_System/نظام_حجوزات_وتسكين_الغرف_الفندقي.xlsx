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ACDACFD1-F167-4410-8451-EF269CAF1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حالة الغرف الـ 25 (Room Rack)" sheetId="1" r:id="rId1"/>
    <sheet name="سجل الحجوزات والتسكي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K10" i="2" s="1"/>
  <c r="M10" i="2" s="1"/>
  <c r="I9" i="2"/>
  <c r="K9" i="2" s="1"/>
  <c r="M9" i="2" s="1"/>
  <c r="I8" i="2"/>
  <c r="K8" i="2" s="1"/>
  <c r="M8" i="2" s="1"/>
  <c r="I7" i="2"/>
  <c r="K7" i="2" s="1"/>
  <c r="M7" i="2" s="1"/>
  <c r="I6" i="2"/>
  <c r="K6" i="2" s="1"/>
  <c r="M6" i="2" s="1"/>
  <c r="I5" i="2"/>
  <c r="K5" i="2" s="1"/>
  <c r="M5" i="2" s="1"/>
  <c r="I4" i="2"/>
  <c r="K4" i="2" s="1"/>
  <c r="M4" i="2" s="1"/>
</calcChain>
</file>

<file path=xl/sharedStrings.xml><?xml version="1.0" encoding="utf-8"?>
<sst xmlns="http://schemas.openxmlformats.org/spreadsheetml/2006/main" count="176" uniqueCount="122">
  <si>
    <t>🏨 فندق هينو الأهرامات — شاشة حالة الغرف الـ 25 التفاعلية (Room Status &amp; Inventory Rack)</t>
  </si>
  <si>
    <t>🟢 شاغرة جاهزة: =COUNTIF(E5:E29, "شاغرة جاهزة")</t>
  </si>
  <si>
    <t>🔴 مشغولة: =COUNTIF(E5:E29, "مشغولة")</t>
  </si>
  <si>
    <t>🟡 تحت التنظيف: =COUNTIF(E5:E29, "تحت التنظيف")</t>
  </si>
  <si>
    <t>🟠 صيانة: =COUNTIF(E5:E29, "صيانة")</t>
  </si>
  <si>
    <t>رقم الغرفة</t>
  </si>
  <si>
    <t>الطابق</t>
  </si>
  <si>
    <t>نوع الغرفة</t>
  </si>
  <si>
    <t>عدد الأسرة</t>
  </si>
  <si>
    <t>حالة الغرفة</t>
  </si>
  <si>
    <t>اسم النزيل الحالي</t>
  </si>
  <si>
    <t>تاريخ الوصول</t>
  </si>
  <si>
    <t>تاريخ المغادرة</t>
  </si>
  <si>
    <t>سعر الليلة (جـ)</t>
  </si>
  <si>
    <t>ملاحظات وتوجيهات الإشراف</t>
  </si>
  <si>
    <t>101</t>
  </si>
  <si>
    <t>الدور الأول</t>
  </si>
  <si>
    <t>غرفة مزدوجة - طابق أرضي</t>
  </si>
  <si>
    <t>102</t>
  </si>
  <si>
    <t>غرفة ثلاثية - طابق أرضي</t>
  </si>
  <si>
    <t>2026-08-14</t>
  </si>
  <si>
    <t>2026-08-18</t>
  </si>
  <si>
    <t>103</t>
  </si>
  <si>
    <t>غرفة مفردة - طابق أرضي</t>
  </si>
  <si>
    <t>104</t>
  </si>
  <si>
    <t>105</t>
  </si>
  <si>
    <t>2026-08-15</t>
  </si>
  <si>
    <t>2026-08-17</t>
  </si>
  <si>
    <t>106</t>
  </si>
  <si>
    <t>201</t>
  </si>
  <si>
    <t>الدور الثاني</t>
  </si>
  <si>
    <t>غرفة ديلوكس إطلالة الأهرامات</t>
  </si>
  <si>
    <t>2026-08-13</t>
  </si>
  <si>
    <t>2026-08-16</t>
  </si>
  <si>
    <t>202</t>
  </si>
  <si>
    <t>2026-08-20</t>
  </si>
  <si>
    <t>203</t>
  </si>
  <si>
    <t>غرفة مزدوجة قياسية</t>
  </si>
  <si>
    <t>204</t>
  </si>
  <si>
    <t>205</t>
  </si>
  <si>
    <t>غرفة ثلاثية عائلية</t>
  </si>
  <si>
    <t>سرير إضافي</t>
  </si>
  <si>
    <t>206</t>
  </si>
  <si>
    <t>غرفة مفردة قياسية</t>
  </si>
  <si>
    <t>207</t>
  </si>
  <si>
    <t>301</t>
  </si>
  <si>
    <t>الدور الثالث</t>
  </si>
  <si>
    <t>جناح فندقي إطلالة الأهرامات</t>
  </si>
  <si>
    <t>2026-08-12</t>
  </si>
  <si>
    <t>2026-08-19</t>
  </si>
  <si>
    <t>302</t>
  </si>
  <si>
    <t>303</t>
  </si>
  <si>
    <t>304</t>
  </si>
  <si>
    <t>غرفة ثلاثية قياسية</t>
  </si>
  <si>
    <t>305</t>
  </si>
  <si>
    <t>306</t>
  </si>
  <si>
    <t>401</t>
  </si>
  <si>
    <t>الروف - الدور الرابع</t>
  </si>
  <si>
    <t>جناح الروف الملكي بفراندا الأهرامات</t>
  </si>
  <si>
    <t>2026-08-10</t>
  </si>
  <si>
    <t>402</t>
  </si>
  <si>
    <t>غرفة روف إطلالة الأهرامات</t>
  </si>
  <si>
    <t>403</t>
  </si>
  <si>
    <t>404</t>
  </si>
  <si>
    <t>غرفة ثلاثية روف</t>
  </si>
  <si>
    <t>405</t>
  </si>
  <si>
    <t>غرفة مفردة روف</t>
  </si>
  <si>
    <t>406</t>
  </si>
  <si>
    <t>غرفة مزدوجة روف</t>
  </si>
  <si>
    <t>📋 سجل الحجوزات والتسكين اليومي الشامل — فندق هينو الأهرامات</t>
  </si>
  <si>
    <t>رقم الحجز</t>
  </si>
  <si>
    <t>اسم النزيل</t>
  </si>
  <si>
    <t>الجنسية / الهوية</t>
  </si>
  <si>
    <t>رقم الهاتف / الواتساب</t>
  </si>
  <si>
    <t>مصدر الحجز</t>
  </si>
  <si>
    <t>عدد الليالي</t>
  </si>
  <si>
    <t>سعر الليلة</t>
  </si>
  <si>
    <t>إجمالي قيمة الإقامة</t>
  </si>
  <si>
    <t>المبلغ المدفوع (مقدم)</t>
  </si>
  <si>
    <t>المتبقي للسداد</t>
  </si>
  <si>
    <t>حالة السداد</t>
  </si>
  <si>
    <t>ملاحظات خاصة</t>
  </si>
  <si>
    <t>RES-2026-001</t>
  </si>
  <si>
    <t>John Smith</t>
  </si>
  <si>
    <t>أمركي - Passport 98234</t>
  </si>
  <si>
    <t>+1 555 0192</t>
  </si>
  <si>
    <t>Booking.com</t>
  </si>
  <si>
    <t>مسدد بالكامل</t>
  </si>
  <si>
    <t>طلب سرير أطفال</t>
  </si>
  <si>
    <t>RES-2026-002</t>
  </si>
  <si>
    <t>أحمد علي محمود</t>
  </si>
  <si>
    <t>مصري - 298010112345</t>
  </si>
  <si>
    <t>01012345678</t>
  </si>
  <si>
    <t>حجز مباشر</t>
  </si>
  <si>
    <t>متبقي جزء</t>
  </si>
  <si>
    <t>متبقي 600 جـ عند المغادرة</t>
  </si>
  <si>
    <t>RES-2026-003</t>
  </si>
  <si>
    <t>Marco Rossi</t>
  </si>
  <si>
    <t>إيطالي - Passport IT8821</t>
  </si>
  <si>
    <t>+39 06 6982</t>
  </si>
  <si>
    <t>Expedia</t>
  </si>
  <si>
    <t>إطلالة الأهرامات</t>
  </si>
  <si>
    <t>RES-2026-004</t>
  </si>
  <si>
    <t>Sarah Jenkins</t>
  </si>
  <si>
    <t>بريطاني - Passport UK1192</t>
  </si>
  <si>
    <t>+44 20 7946</t>
  </si>
  <si>
    <t>شامل الإفطار</t>
  </si>
  <si>
    <t>RES-2026-005</t>
  </si>
  <si>
    <t>عائلة محمود حسان</t>
  </si>
  <si>
    <t>مصري - 28504049876</t>
  </si>
  <si>
    <t>01223344556</t>
  </si>
  <si>
    <t>RES-2026-006</t>
  </si>
  <si>
    <t>David Miller</t>
  </si>
  <si>
    <t>كندي - Passport CA9912</t>
  </si>
  <si>
    <t>+1 416 555</t>
  </si>
  <si>
    <t>جناح فندقي VIP</t>
  </si>
  <si>
    <t>RES-2026-007</t>
  </si>
  <si>
    <t>Pierre Dupont</t>
  </si>
  <si>
    <t>فرنسي - Passport FR7732</t>
  </si>
  <si>
    <t>+33 1 4268</t>
  </si>
  <si>
    <t>وكيل سياحي</t>
  </si>
  <si>
    <t>جناح الروف الملكي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</si>
</sst>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جـ&quot;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4E78"/>
      <name val="Arial"/>
    </font>
    <font>
      <b/>
      <sz val="9.5"/>
      <color rgb="FFFFFFFF"/>
      <name val="Arial"/>
    </font>
    <font>
      <sz val="9"/>
      <name val="Arial"/>
    </font>
    <font>
      <b/>
      <sz val="9.5"/>
      <color rgb="FF276749"/>
      <name val="Arial"/>
    </font>
    <font>
      <b/>
      <sz val="9.5"/>
      <color rgb="FF9B2C2C"/>
      <name val="Arial"/>
    </font>
    <font>
      <b/>
      <sz val="9.5"/>
      <color rgb="FF975A16"/>
      <name val="Arial"/>
    </font>
    <font>
      <b/>
      <sz val="9.5"/>
      <color rgb="FFC05621"/>
      <name val="Arial"/>
    </font>
    <font>
      <b/>
      <sz val="9"/>
      <color rgb="FFC5303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8"/>
      </patternFill>
    </fill>
    <fill>
      <patternFill patternType="solid">
        <fgColor rgb="FF2F5597"/>
      </patternFill>
    </fill>
    <fill>
      <patternFill patternType="solid">
        <fgColor rgb="FFF9FAFB"/>
      </patternFill>
    </fill>
    <fill>
      <patternFill patternType="solid">
        <fgColor rgb="FFC6F6D5"/>
      </patternFill>
    </fill>
    <fill>
      <patternFill patternType="solid">
        <fgColor rgb="FFFFFFFF"/>
      </patternFill>
    </fill>
    <fill>
      <patternFill patternType="solid">
        <fgColor rgb="FFFED7D7"/>
      </patternFill>
    </fill>
    <fill>
      <patternFill patternType="solid">
        <fgColor rgb="FFFEFCBF"/>
      </patternFill>
    </fill>
    <fill>
      <patternFill patternType="solid">
        <fgColor rgb="FFFEEBC8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right" vertical="center"/>
    </xf>
    <xf numFmtId="164" fontId="4" fillId="5" borderId="3" xfId="0" applyNumberFormat="1" applyFont="1" applyFill="1" applyBorder="1" applyAlignment="1">
      <alignment horizontal="right" vertical="center"/>
    </xf>
    <xf numFmtId="164" fontId="9" fillId="5" borderId="3" xfId="0" applyNumberFormat="1" applyFont="1" applyFill="1" applyBorder="1" applyAlignment="1">
      <alignment horizontal="right" vertical="center"/>
    </xf>
    <xf numFmtId="164" fontId="4" fillId="7" borderId="3" xfId="0" applyNumberFormat="1" applyFont="1" applyFill="1" applyBorder="1" applyAlignment="1">
      <alignment horizontal="right" vertical="center"/>
    </xf>
    <xf numFmtId="164" fontId="9" fillId="7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right" vertical="center"/>
    </xf>
    <xf numFmtId="0" fontId="4" fillId="7" borderId="14" xfId="0" applyFont="1" applyFill="1" applyBorder="1" applyAlignment="1">
      <alignment horizontal="right" vertical="center"/>
    </xf>
    <xf numFmtId="0" fontId="4" fillId="5" borderId="14" xfId="0" applyFont="1" applyFill="1" applyBorder="1" applyAlignment="1">
      <alignment horizontal="right" vertical="center"/>
    </xf>
    <xf numFmtId="0" fontId="4" fillId="5" borderId="1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rightToLeft="1" tabSelected="1" workbookViewId="0">
      <selection activeCell="C5" sqref="C5"/>
    </sheetView>
  </sheetViews>
  <sheetFormatPr defaultRowHeight="14.5" x14ac:dyDescent="0.35"/>
  <cols>
    <col min="1" max="1" width="12" customWidth="1"/>
    <col min="2" max="2" width="16" customWidth="1"/>
    <col min="3" max="3" width="28" customWidth="1"/>
    <col min="4" max="4" width="12" customWidth="1"/>
    <col min="5" max="5" width="16" customWidth="1"/>
    <col min="6" max="6" width="24" customWidth="1"/>
    <col min="7" max="8" width="14" customWidth="1"/>
    <col min="9" max="9" width="16" customWidth="1"/>
    <col min="10" max="10" width="25" customWidth="1"/>
  </cols>
  <sheetData>
    <row r="1" spans="1:10" ht="32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10" ht="25" customHeight="1" x14ac:dyDescent="0.35">
      <c r="A2" s="11" t="s">
        <v>1</v>
      </c>
      <c r="B2" s="11"/>
      <c r="C2" s="11" t="s">
        <v>2</v>
      </c>
      <c r="D2" s="11"/>
      <c r="E2" s="11" t="s">
        <v>3</v>
      </c>
      <c r="F2" s="11"/>
      <c r="G2" s="11" t="s">
        <v>4</v>
      </c>
      <c r="H2" s="11"/>
    </row>
    <row r="3" spans="1:10" ht="15" thickBot="1" x14ac:dyDescent="0.4"/>
    <row r="4" spans="1:10" ht="26" customHeight="1" thickTop="1" thickBot="1" x14ac:dyDescent="0.4">
      <c r="A4" s="20" t="s">
        <v>5</v>
      </c>
      <c r="B4" s="21" t="s">
        <v>6</v>
      </c>
      <c r="C4" s="21" t="s">
        <v>7</v>
      </c>
      <c r="D4" s="21" t="s">
        <v>8</v>
      </c>
      <c r="E4" s="21" t="s">
        <v>9</v>
      </c>
      <c r="F4" s="21" t="s">
        <v>10</v>
      </c>
      <c r="G4" s="21" t="s">
        <v>11</v>
      </c>
      <c r="H4" s="21" t="s">
        <v>12</v>
      </c>
      <c r="I4" s="22" t="s">
        <v>13</v>
      </c>
      <c r="J4" s="32" t="s">
        <v>14</v>
      </c>
    </row>
    <row r="5" spans="1:10" ht="22" customHeight="1" thickTop="1" thickBot="1" x14ac:dyDescent="0.4">
      <c r="A5" s="23" t="s">
        <v>15</v>
      </c>
      <c r="B5" s="13" t="s">
        <v>16</v>
      </c>
      <c r="C5" s="13" t="s">
        <v>17</v>
      </c>
      <c r="D5" s="12">
        <v>2</v>
      </c>
      <c r="E5" s="14"/>
      <c r="F5" s="13"/>
      <c r="G5" s="12"/>
      <c r="H5" s="12"/>
      <c r="I5" s="24">
        <v>1200</v>
      </c>
      <c r="J5" s="33"/>
    </row>
    <row r="6" spans="1:10" ht="22" customHeight="1" thickBot="1" x14ac:dyDescent="0.4">
      <c r="A6" s="25" t="s">
        <v>18</v>
      </c>
      <c r="B6" s="16" t="s">
        <v>16</v>
      </c>
      <c r="C6" s="16" t="s">
        <v>19</v>
      </c>
      <c r="D6" s="15">
        <v>3</v>
      </c>
      <c r="E6" s="17"/>
      <c r="F6" s="16"/>
      <c r="G6" s="15"/>
      <c r="H6" s="15"/>
      <c r="I6" s="26">
        <v>1500</v>
      </c>
      <c r="J6" s="34"/>
    </row>
    <row r="7" spans="1:10" ht="22" customHeight="1" thickBot="1" x14ac:dyDescent="0.4">
      <c r="A7" s="23" t="s">
        <v>22</v>
      </c>
      <c r="B7" s="13" t="s">
        <v>16</v>
      </c>
      <c r="C7" s="13" t="s">
        <v>23</v>
      </c>
      <c r="D7" s="12">
        <v>1</v>
      </c>
      <c r="E7" s="18"/>
      <c r="F7" s="13"/>
      <c r="G7" s="12"/>
      <c r="H7" s="12"/>
      <c r="I7" s="24">
        <v>900</v>
      </c>
      <c r="J7" s="35"/>
    </row>
    <row r="8" spans="1:10" ht="22" customHeight="1" thickBot="1" x14ac:dyDescent="0.4">
      <c r="A8" s="25" t="s">
        <v>24</v>
      </c>
      <c r="B8" s="16" t="s">
        <v>16</v>
      </c>
      <c r="C8" s="16" t="s">
        <v>17</v>
      </c>
      <c r="D8" s="15">
        <v>2</v>
      </c>
      <c r="E8" s="14"/>
      <c r="F8" s="16"/>
      <c r="G8" s="15"/>
      <c r="H8" s="15"/>
      <c r="I8" s="26">
        <v>1200</v>
      </c>
      <c r="J8" s="34"/>
    </row>
    <row r="9" spans="1:10" ht="22" customHeight="1" thickBot="1" x14ac:dyDescent="0.4">
      <c r="A9" s="23" t="s">
        <v>25</v>
      </c>
      <c r="B9" s="13" t="s">
        <v>16</v>
      </c>
      <c r="C9" s="13" t="s">
        <v>17</v>
      </c>
      <c r="D9" s="12">
        <v>2</v>
      </c>
      <c r="E9" s="17"/>
      <c r="F9" s="13"/>
      <c r="G9" s="12"/>
      <c r="H9" s="12"/>
      <c r="I9" s="24">
        <v>1200</v>
      </c>
      <c r="J9" s="35"/>
    </row>
    <row r="10" spans="1:10" ht="22" customHeight="1" thickBot="1" x14ac:dyDescent="0.4">
      <c r="A10" s="25" t="s">
        <v>28</v>
      </c>
      <c r="B10" s="16" t="s">
        <v>16</v>
      </c>
      <c r="C10" s="16" t="s">
        <v>19</v>
      </c>
      <c r="D10" s="15">
        <v>3</v>
      </c>
      <c r="E10" s="14"/>
      <c r="F10" s="16"/>
      <c r="G10" s="15"/>
      <c r="H10" s="15"/>
      <c r="I10" s="26">
        <v>1500</v>
      </c>
      <c r="J10" s="34"/>
    </row>
    <row r="11" spans="1:10" ht="22" customHeight="1" thickBot="1" x14ac:dyDescent="0.4">
      <c r="A11" s="23" t="s">
        <v>29</v>
      </c>
      <c r="B11" s="13" t="s">
        <v>30</v>
      </c>
      <c r="C11" s="13" t="s">
        <v>31</v>
      </c>
      <c r="D11" s="12">
        <v>2</v>
      </c>
      <c r="E11" s="17"/>
      <c r="F11" s="13"/>
      <c r="G11" s="12"/>
      <c r="H11" s="12"/>
      <c r="I11" s="24">
        <v>1800</v>
      </c>
      <c r="J11" s="35"/>
    </row>
    <row r="12" spans="1:10" ht="22" customHeight="1" thickBot="1" x14ac:dyDescent="0.4">
      <c r="A12" s="25" t="s">
        <v>34</v>
      </c>
      <c r="B12" s="16" t="s">
        <v>30</v>
      </c>
      <c r="C12" s="16" t="s">
        <v>31</v>
      </c>
      <c r="D12" s="15">
        <v>2</v>
      </c>
      <c r="E12" s="17"/>
      <c r="F12" s="16"/>
      <c r="G12" s="15"/>
      <c r="H12" s="15"/>
      <c r="I12" s="26">
        <v>1800</v>
      </c>
      <c r="J12" s="34"/>
    </row>
    <row r="13" spans="1:10" ht="22" customHeight="1" thickBot="1" x14ac:dyDescent="0.4">
      <c r="A13" s="23" t="s">
        <v>36</v>
      </c>
      <c r="B13" s="13" t="s">
        <v>30</v>
      </c>
      <c r="C13" s="13" t="s">
        <v>37</v>
      </c>
      <c r="D13" s="12">
        <v>2</v>
      </c>
      <c r="E13" s="14"/>
      <c r="F13" s="13"/>
      <c r="G13" s="12"/>
      <c r="H13" s="12"/>
      <c r="I13" s="24">
        <v>1300</v>
      </c>
      <c r="J13" s="35"/>
    </row>
    <row r="14" spans="1:10" ht="22" customHeight="1" thickBot="1" x14ac:dyDescent="0.4">
      <c r="A14" s="25" t="s">
        <v>38</v>
      </c>
      <c r="B14" s="16" t="s">
        <v>30</v>
      </c>
      <c r="C14" s="16" t="s">
        <v>37</v>
      </c>
      <c r="D14" s="15">
        <v>2</v>
      </c>
      <c r="E14" s="19"/>
      <c r="F14" s="16"/>
      <c r="G14" s="15"/>
      <c r="H14" s="15"/>
      <c r="I14" s="26">
        <v>1300</v>
      </c>
      <c r="J14" s="34"/>
    </row>
    <row r="15" spans="1:10" ht="22" customHeight="1" thickBot="1" x14ac:dyDescent="0.4">
      <c r="A15" s="23" t="s">
        <v>39</v>
      </c>
      <c r="B15" s="13" t="s">
        <v>30</v>
      </c>
      <c r="C15" s="13" t="s">
        <v>40</v>
      </c>
      <c r="D15" s="12">
        <v>3</v>
      </c>
      <c r="E15" s="17"/>
      <c r="F15" s="13"/>
      <c r="G15" s="12"/>
      <c r="H15" s="12"/>
      <c r="I15" s="24">
        <v>1600</v>
      </c>
      <c r="J15" s="35"/>
    </row>
    <row r="16" spans="1:10" ht="22" customHeight="1" thickBot="1" x14ac:dyDescent="0.4">
      <c r="A16" s="25" t="s">
        <v>42</v>
      </c>
      <c r="B16" s="16" t="s">
        <v>30</v>
      </c>
      <c r="C16" s="16" t="s">
        <v>43</v>
      </c>
      <c r="D16" s="15">
        <v>1</v>
      </c>
      <c r="E16" s="14"/>
      <c r="F16" s="16"/>
      <c r="G16" s="15"/>
      <c r="H16" s="15"/>
      <c r="I16" s="26">
        <v>950</v>
      </c>
      <c r="J16" s="34"/>
    </row>
    <row r="17" spans="1:10" ht="22" customHeight="1" thickBot="1" x14ac:dyDescent="0.4">
      <c r="A17" s="23" t="s">
        <v>44</v>
      </c>
      <c r="B17" s="13" t="s">
        <v>30</v>
      </c>
      <c r="C17" s="13" t="s">
        <v>37</v>
      </c>
      <c r="D17" s="12">
        <v>2</v>
      </c>
      <c r="E17" s="18"/>
      <c r="F17" s="13"/>
      <c r="G17" s="12"/>
      <c r="H17" s="12"/>
      <c r="I17" s="24">
        <v>1300</v>
      </c>
      <c r="J17" s="35"/>
    </row>
    <row r="18" spans="1:10" ht="22" customHeight="1" thickBot="1" x14ac:dyDescent="0.4">
      <c r="A18" s="25" t="s">
        <v>45</v>
      </c>
      <c r="B18" s="16" t="s">
        <v>46</v>
      </c>
      <c r="C18" s="16" t="s">
        <v>47</v>
      </c>
      <c r="D18" s="15">
        <v>3</v>
      </c>
      <c r="E18" s="17"/>
      <c r="F18" s="16"/>
      <c r="G18" s="15"/>
      <c r="H18" s="15"/>
      <c r="I18" s="26">
        <v>2200</v>
      </c>
      <c r="J18" s="34"/>
    </row>
    <row r="19" spans="1:10" ht="22" customHeight="1" thickBot="1" x14ac:dyDescent="0.4">
      <c r="A19" s="23" t="s">
        <v>50</v>
      </c>
      <c r="B19" s="13" t="s">
        <v>46</v>
      </c>
      <c r="C19" s="13" t="s">
        <v>31</v>
      </c>
      <c r="D19" s="12">
        <v>2</v>
      </c>
      <c r="E19" s="14"/>
      <c r="F19" s="13"/>
      <c r="G19" s="12"/>
      <c r="H19" s="12"/>
      <c r="I19" s="24">
        <v>1800</v>
      </c>
      <c r="J19" s="35"/>
    </row>
    <row r="20" spans="1:10" ht="22" customHeight="1" thickBot="1" x14ac:dyDescent="0.4">
      <c r="A20" s="25" t="s">
        <v>51</v>
      </c>
      <c r="B20" s="16" t="s">
        <v>46</v>
      </c>
      <c r="C20" s="16" t="s">
        <v>37</v>
      </c>
      <c r="D20" s="15">
        <v>2</v>
      </c>
      <c r="E20" s="14"/>
      <c r="F20" s="16"/>
      <c r="G20" s="15"/>
      <c r="H20" s="15"/>
      <c r="I20" s="26">
        <v>1300</v>
      </c>
      <c r="J20" s="34"/>
    </row>
    <row r="21" spans="1:10" ht="22" customHeight="1" thickBot="1" x14ac:dyDescent="0.4">
      <c r="A21" s="23" t="s">
        <v>52</v>
      </c>
      <c r="B21" s="13" t="s">
        <v>46</v>
      </c>
      <c r="C21" s="13" t="s">
        <v>53</v>
      </c>
      <c r="D21" s="12">
        <v>3</v>
      </c>
      <c r="E21" s="17"/>
      <c r="F21" s="13"/>
      <c r="G21" s="12"/>
      <c r="H21" s="12"/>
      <c r="I21" s="24">
        <v>1600</v>
      </c>
      <c r="J21" s="35"/>
    </row>
    <row r="22" spans="1:10" ht="22" customHeight="1" thickBot="1" x14ac:dyDescent="0.4">
      <c r="A22" s="25" t="s">
        <v>54</v>
      </c>
      <c r="B22" s="16" t="s">
        <v>46</v>
      </c>
      <c r="C22" s="16" t="s">
        <v>43</v>
      </c>
      <c r="D22" s="15">
        <v>1</v>
      </c>
      <c r="E22" s="14"/>
      <c r="F22" s="16"/>
      <c r="G22" s="15"/>
      <c r="H22" s="15"/>
      <c r="I22" s="26">
        <v>950</v>
      </c>
      <c r="J22" s="34"/>
    </row>
    <row r="23" spans="1:10" ht="22" customHeight="1" thickBot="1" x14ac:dyDescent="0.4">
      <c r="A23" s="23" t="s">
        <v>55</v>
      </c>
      <c r="B23" s="13" t="s">
        <v>46</v>
      </c>
      <c r="C23" s="13" t="s">
        <v>37</v>
      </c>
      <c r="D23" s="12">
        <v>2</v>
      </c>
      <c r="E23" s="14"/>
      <c r="F23" s="13"/>
      <c r="G23" s="12"/>
      <c r="H23" s="12"/>
      <c r="I23" s="24">
        <v>1300</v>
      </c>
      <c r="J23" s="35"/>
    </row>
    <row r="24" spans="1:10" ht="22" customHeight="1" thickBot="1" x14ac:dyDescent="0.4">
      <c r="A24" s="25" t="s">
        <v>56</v>
      </c>
      <c r="B24" s="16" t="s">
        <v>57</v>
      </c>
      <c r="C24" s="16" t="s">
        <v>58</v>
      </c>
      <c r="D24" s="15">
        <v>2</v>
      </c>
      <c r="E24" s="17"/>
      <c r="F24" s="16"/>
      <c r="G24" s="15"/>
      <c r="H24" s="15"/>
      <c r="I24" s="26">
        <v>2500</v>
      </c>
      <c r="J24" s="34"/>
    </row>
    <row r="25" spans="1:10" ht="22" customHeight="1" thickBot="1" x14ac:dyDescent="0.4">
      <c r="A25" s="23" t="s">
        <v>60</v>
      </c>
      <c r="B25" s="13" t="s">
        <v>57</v>
      </c>
      <c r="C25" s="13" t="s">
        <v>61</v>
      </c>
      <c r="D25" s="12">
        <v>2</v>
      </c>
      <c r="E25" s="14"/>
      <c r="F25" s="13"/>
      <c r="G25" s="12"/>
      <c r="H25" s="12"/>
      <c r="I25" s="24">
        <v>1900</v>
      </c>
      <c r="J25" s="35"/>
    </row>
    <row r="26" spans="1:10" ht="22" customHeight="1" thickBot="1" x14ac:dyDescent="0.4">
      <c r="A26" s="25" t="s">
        <v>62</v>
      </c>
      <c r="B26" s="16" t="s">
        <v>57</v>
      </c>
      <c r="C26" s="16" t="s">
        <v>61</v>
      </c>
      <c r="D26" s="15">
        <v>2</v>
      </c>
      <c r="E26" s="18"/>
      <c r="F26" s="16"/>
      <c r="G26" s="15"/>
      <c r="H26" s="15"/>
      <c r="I26" s="26">
        <v>1900</v>
      </c>
      <c r="J26" s="34"/>
    </row>
    <row r="27" spans="1:10" ht="22" customHeight="1" thickBot="1" x14ac:dyDescent="0.4">
      <c r="A27" s="23" t="s">
        <v>63</v>
      </c>
      <c r="B27" s="13" t="s">
        <v>57</v>
      </c>
      <c r="C27" s="13" t="s">
        <v>64</v>
      </c>
      <c r="D27" s="12">
        <v>3</v>
      </c>
      <c r="E27" s="14"/>
      <c r="F27" s="13"/>
      <c r="G27" s="12"/>
      <c r="H27" s="12"/>
      <c r="I27" s="24">
        <v>1700</v>
      </c>
      <c r="J27" s="35"/>
    </row>
    <row r="28" spans="1:10" ht="22" customHeight="1" thickBot="1" x14ac:dyDescent="0.4">
      <c r="A28" s="25" t="s">
        <v>65</v>
      </c>
      <c r="B28" s="16" t="s">
        <v>57</v>
      </c>
      <c r="C28" s="16" t="s">
        <v>66</v>
      </c>
      <c r="D28" s="15">
        <v>1</v>
      </c>
      <c r="E28" s="14"/>
      <c r="F28" s="16"/>
      <c r="G28" s="15"/>
      <c r="H28" s="15"/>
      <c r="I28" s="26">
        <v>1000</v>
      </c>
      <c r="J28" s="34"/>
    </row>
    <row r="29" spans="1:10" ht="22" customHeight="1" thickBot="1" x14ac:dyDescent="0.4">
      <c r="A29" s="27" t="s">
        <v>67</v>
      </c>
      <c r="B29" s="28" t="s">
        <v>57</v>
      </c>
      <c r="C29" s="28" t="s">
        <v>68</v>
      </c>
      <c r="D29" s="29">
        <v>2</v>
      </c>
      <c r="E29" s="30"/>
      <c r="F29" s="28"/>
      <c r="G29" s="29"/>
      <c r="H29" s="29"/>
      <c r="I29" s="31">
        <v>1400</v>
      </c>
      <c r="J29" s="36"/>
    </row>
    <row r="30" spans="1:10" ht="15" thickTop="1" x14ac:dyDescent="0.35"/>
  </sheetData>
  <mergeCells count="5">
    <mergeCell ref="A1:I1"/>
    <mergeCell ref="A2:B2"/>
    <mergeCell ref="C2:D2"/>
    <mergeCell ref="E2:F2"/>
    <mergeCell ref="G2:H2"/>
  </mergeCells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rightToLeft="1" workbookViewId="0"/>
  </sheetViews>
  <sheetFormatPr defaultRowHeight="14.5" x14ac:dyDescent="0.35"/>
  <cols>
    <col min="1" max="1" width="15" customWidth="1"/>
    <col min="2" max="2" width="22" customWidth="1"/>
    <col min="3" max="3" width="24" customWidth="1"/>
    <col min="4" max="4" width="16" customWidth="1"/>
    <col min="5" max="5" width="15" customWidth="1"/>
    <col min="6" max="6" width="12" customWidth="1"/>
    <col min="7" max="8" width="14" customWidth="1"/>
    <col min="9" max="9" width="12" customWidth="1"/>
    <col min="10" max="10" width="14" customWidth="1"/>
    <col min="11" max="13" width="16" customWidth="1"/>
    <col min="14" max="14" width="15" customWidth="1"/>
    <col min="15" max="15" width="24" customWidth="1"/>
  </cols>
  <sheetData>
    <row r="1" spans="1:15" ht="30" customHeight="1" x14ac:dyDescent="0.3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3" spans="1:15" ht="26" customHeight="1" x14ac:dyDescent="0.35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5</v>
      </c>
      <c r="G3" s="1" t="s">
        <v>11</v>
      </c>
      <c r="H3" s="1" t="s">
        <v>12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1" t="s">
        <v>80</v>
      </c>
      <c r="O3" s="1" t="s">
        <v>81</v>
      </c>
    </row>
    <row r="4" spans="1:15" ht="22" customHeight="1" x14ac:dyDescent="0.35">
      <c r="A4" s="2" t="s">
        <v>82</v>
      </c>
      <c r="B4" s="3" t="s">
        <v>83</v>
      </c>
      <c r="C4" s="3" t="s">
        <v>84</v>
      </c>
      <c r="D4" s="3" t="s">
        <v>85</v>
      </c>
      <c r="E4" s="2" t="s">
        <v>86</v>
      </c>
      <c r="F4" s="2" t="s">
        <v>18</v>
      </c>
      <c r="G4" s="2" t="s">
        <v>20</v>
      </c>
      <c r="H4" s="2" t="s">
        <v>21</v>
      </c>
      <c r="I4" s="2">
        <f t="shared" ref="I4:I10" si="0">DATEVALUE(H4)-DATEVALUE(G4)</f>
        <v>4</v>
      </c>
      <c r="J4" s="6">
        <v>1500</v>
      </c>
      <c r="K4" s="6">
        <f t="shared" ref="K4:K10" si="1">I4*J4</f>
        <v>6000</v>
      </c>
      <c r="L4" s="6">
        <v>6000</v>
      </c>
      <c r="M4" s="7">
        <f t="shared" ref="M4:M10" si="2">K4-L4</f>
        <v>0</v>
      </c>
      <c r="N4" s="2" t="s">
        <v>87</v>
      </c>
      <c r="O4" s="3" t="s">
        <v>88</v>
      </c>
    </row>
    <row r="5" spans="1:15" ht="22" customHeight="1" x14ac:dyDescent="0.35">
      <c r="A5" s="4" t="s">
        <v>89</v>
      </c>
      <c r="B5" s="5" t="s">
        <v>90</v>
      </c>
      <c r="C5" s="5" t="s">
        <v>91</v>
      </c>
      <c r="D5" s="5" t="s">
        <v>92</v>
      </c>
      <c r="E5" s="4" t="s">
        <v>93</v>
      </c>
      <c r="F5" s="4" t="s">
        <v>25</v>
      </c>
      <c r="G5" s="4" t="s">
        <v>26</v>
      </c>
      <c r="H5" s="4" t="s">
        <v>27</v>
      </c>
      <c r="I5" s="4">
        <f t="shared" si="0"/>
        <v>2</v>
      </c>
      <c r="J5" s="8">
        <v>1200</v>
      </c>
      <c r="K5" s="8">
        <f t="shared" si="1"/>
        <v>2400</v>
      </c>
      <c r="L5" s="8">
        <v>1800</v>
      </c>
      <c r="M5" s="9">
        <f t="shared" si="2"/>
        <v>600</v>
      </c>
      <c r="N5" s="4" t="s">
        <v>94</v>
      </c>
      <c r="O5" s="5" t="s">
        <v>95</v>
      </c>
    </row>
    <row r="6" spans="1:15" ht="22" customHeight="1" x14ac:dyDescent="0.35">
      <c r="A6" s="2" t="s">
        <v>96</v>
      </c>
      <c r="B6" s="3" t="s">
        <v>97</v>
      </c>
      <c r="C6" s="3" t="s">
        <v>98</v>
      </c>
      <c r="D6" s="3" t="s">
        <v>99</v>
      </c>
      <c r="E6" s="2" t="s">
        <v>100</v>
      </c>
      <c r="F6" s="2" t="s">
        <v>29</v>
      </c>
      <c r="G6" s="2" t="s">
        <v>32</v>
      </c>
      <c r="H6" s="2" t="s">
        <v>33</v>
      </c>
      <c r="I6" s="2">
        <f t="shared" si="0"/>
        <v>3</v>
      </c>
      <c r="J6" s="6">
        <v>1800</v>
      </c>
      <c r="K6" s="6">
        <f t="shared" si="1"/>
        <v>5400</v>
      </c>
      <c r="L6" s="6">
        <v>5400</v>
      </c>
      <c r="M6" s="7">
        <f t="shared" si="2"/>
        <v>0</v>
      </c>
      <c r="N6" s="2" t="s">
        <v>87</v>
      </c>
      <c r="O6" s="3" t="s">
        <v>101</v>
      </c>
    </row>
    <row r="7" spans="1:15" ht="22" customHeight="1" x14ac:dyDescent="0.35">
      <c r="A7" s="4" t="s">
        <v>102</v>
      </c>
      <c r="B7" s="5" t="s">
        <v>103</v>
      </c>
      <c r="C7" s="5" t="s">
        <v>104</v>
      </c>
      <c r="D7" s="5" t="s">
        <v>105</v>
      </c>
      <c r="E7" s="4" t="s">
        <v>86</v>
      </c>
      <c r="F7" s="4" t="s">
        <v>34</v>
      </c>
      <c r="G7" s="4" t="s">
        <v>26</v>
      </c>
      <c r="H7" s="4" t="s">
        <v>35</v>
      </c>
      <c r="I7" s="4">
        <f t="shared" si="0"/>
        <v>5</v>
      </c>
      <c r="J7" s="8">
        <v>1800</v>
      </c>
      <c r="K7" s="8">
        <f t="shared" si="1"/>
        <v>9000</v>
      </c>
      <c r="L7" s="8">
        <v>9000</v>
      </c>
      <c r="M7" s="9">
        <f t="shared" si="2"/>
        <v>0</v>
      </c>
      <c r="N7" s="4" t="s">
        <v>87</v>
      </c>
      <c r="O7" s="5" t="s">
        <v>106</v>
      </c>
    </row>
    <row r="8" spans="1:15" ht="22" customHeight="1" x14ac:dyDescent="0.35">
      <c r="A8" s="2" t="s">
        <v>107</v>
      </c>
      <c r="B8" s="3" t="s">
        <v>108</v>
      </c>
      <c r="C8" s="3" t="s">
        <v>109</v>
      </c>
      <c r="D8" s="3" t="s">
        <v>110</v>
      </c>
      <c r="E8" s="2" t="s">
        <v>93</v>
      </c>
      <c r="F8" s="2" t="s">
        <v>39</v>
      </c>
      <c r="G8" s="2" t="s">
        <v>20</v>
      </c>
      <c r="H8" s="2" t="s">
        <v>27</v>
      </c>
      <c r="I8" s="2">
        <f t="shared" si="0"/>
        <v>3</v>
      </c>
      <c r="J8" s="6">
        <v>1600</v>
      </c>
      <c r="K8" s="6">
        <f t="shared" si="1"/>
        <v>4800</v>
      </c>
      <c r="L8" s="6">
        <v>4800</v>
      </c>
      <c r="M8" s="7">
        <f t="shared" si="2"/>
        <v>0</v>
      </c>
      <c r="N8" s="2" t="s">
        <v>87</v>
      </c>
      <c r="O8" s="3" t="s">
        <v>41</v>
      </c>
    </row>
    <row r="9" spans="1:15" ht="22" customHeight="1" x14ac:dyDescent="0.35">
      <c r="A9" s="4" t="s">
        <v>111</v>
      </c>
      <c r="B9" s="5" t="s">
        <v>112</v>
      </c>
      <c r="C9" s="5" t="s">
        <v>113</v>
      </c>
      <c r="D9" s="5" t="s">
        <v>114</v>
      </c>
      <c r="E9" s="4" t="s">
        <v>86</v>
      </c>
      <c r="F9" s="4" t="s">
        <v>45</v>
      </c>
      <c r="G9" s="4" t="s">
        <v>48</v>
      </c>
      <c r="H9" s="4" t="s">
        <v>49</v>
      </c>
      <c r="I9" s="4">
        <f t="shared" si="0"/>
        <v>7</v>
      </c>
      <c r="J9" s="8">
        <v>2200</v>
      </c>
      <c r="K9" s="8">
        <f t="shared" si="1"/>
        <v>15400</v>
      </c>
      <c r="L9" s="8">
        <v>15400</v>
      </c>
      <c r="M9" s="9">
        <f t="shared" si="2"/>
        <v>0</v>
      </c>
      <c r="N9" s="4" t="s">
        <v>87</v>
      </c>
      <c r="O9" s="5" t="s">
        <v>115</v>
      </c>
    </row>
    <row r="10" spans="1:15" ht="22" customHeight="1" x14ac:dyDescent="0.35">
      <c r="A10" s="2" t="s">
        <v>116</v>
      </c>
      <c r="B10" s="3" t="s">
        <v>117</v>
      </c>
      <c r="C10" s="3" t="s">
        <v>118</v>
      </c>
      <c r="D10" s="3" t="s">
        <v>119</v>
      </c>
      <c r="E10" s="2" t="s">
        <v>120</v>
      </c>
      <c r="F10" s="2" t="s">
        <v>56</v>
      </c>
      <c r="G10" s="2" t="s">
        <v>59</v>
      </c>
      <c r="H10" s="2" t="s">
        <v>27</v>
      </c>
      <c r="I10" s="2">
        <f t="shared" si="0"/>
        <v>7</v>
      </c>
      <c r="J10" s="6">
        <v>2500</v>
      </c>
      <c r="K10" s="6">
        <f t="shared" si="1"/>
        <v>17500</v>
      </c>
      <c r="L10" s="6">
        <v>17500</v>
      </c>
      <c r="M10" s="7">
        <f t="shared" si="2"/>
        <v>0</v>
      </c>
      <c r="N10" s="2" t="s">
        <v>87</v>
      </c>
      <c r="O10" s="3" t="s">
        <v>121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حالة الغرف الـ 25 (Room Rack)</vt:lpstr>
      <vt:lpstr>سجل الحجوزات والتسكين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2026-08-15T11:43:56Z</dcterms:created>
  <dcterms:modified xsi:type="dcterms:W3CDTF">2026-08-15T11:50:17Z</dcterms:modified>
  <cp:category/>
</cp:coreProperties>
</file>