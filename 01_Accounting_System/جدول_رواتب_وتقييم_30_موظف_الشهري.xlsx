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0" documentId="13_ncr:1_{1129F215-9FAF-4B6E-AF17-3A53E38674C3}" xr6:coauthVersionLast="47" xr6:coauthVersionMax="47" xr10:uidLastSave="{00000000-0000-0000-0000-000000000000}"/>
  <bookViews>
    <workbookView xWindow="-110" yWindow="-110" windowWidth="19420" windowHeight="10300" firstSheet="4" activeTab="4" xr2:uid="{00000000-000D-0000-FFFF-FFFF00000000}"/>
  </bookViews>
  <sheets>
    <sheet name="تقييم يومي - الاستقبال" sheetId="1" r:id="rId1"/>
    <sheet name="تقييم يومي - الإشراف والغرف" sheetId="2" r:id="rId2"/>
    <sheet name="تقييم يومي - المطعم والخدمة" sheetId="3" r:id="rId3"/>
    <sheet name="تقييم يومي - الصيانة والخدمات" sheetId="4" r:id="rId4"/>
    <sheet name="كشف الرواتب والتقييم الشهري" sheetId="5" r:id="rId5"/>
    <sheet name="دليل وشروط حساب المرتبات"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 i="5" l="1"/>
  <c r="L34" i="5"/>
  <c r="J34" i="5"/>
  <c r="D34" i="5"/>
  <c r="F33" i="5"/>
  <c r="E33" i="5"/>
  <c r="M33" i="5" s="1"/>
  <c r="F32" i="5"/>
  <c r="E32" i="5"/>
  <c r="F31" i="5"/>
  <c r="E31" i="5"/>
  <c r="K31" i="5" s="1"/>
  <c r="F30" i="5"/>
  <c r="E30" i="5"/>
  <c r="M30" i="5" s="1"/>
  <c r="F29" i="5"/>
  <c r="E29" i="5"/>
  <c r="K29" i="5" s="1"/>
  <c r="F28" i="5"/>
  <c r="E28" i="5"/>
  <c r="F27" i="5"/>
  <c r="E27" i="5"/>
  <c r="K27" i="5" s="1"/>
  <c r="K26" i="5"/>
  <c r="F26" i="5"/>
  <c r="E26" i="5"/>
  <c r="M26" i="5" s="1"/>
  <c r="F25" i="5"/>
  <c r="E25" i="5"/>
  <c r="K25" i="5" s="1"/>
  <c r="F24" i="5"/>
  <c r="E24" i="5"/>
  <c r="F23" i="5"/>
  <c r="E23" i="5"/>
  <c r="K23" i="5" s="1"/>
  <c r="K22" i="5"/>
  <c r="F22" i="5"/>
  <c r="E22" i="5"/>
  <c r="M22" i="5" s="1"/>
  <c r="F21" i="5"/>
  <c r="E21" i="5"/>
  <c r="M21" i="5" s="1"/>
  <c r="F20" i="5"/>
  <c r="E20" i="5"/>
  <c r="F19" i="5"/>
  <c r="E19" i="5"/>
  <c r="K19" i="5" s="1"/>
  <c r="M18" i="5"/>
  <c r="K18" i="5"/>
  <c r="F18" i="5"/>
  <c r="E18" i="5"/>
  <c r="F17" i="5"/>
  <c r="E17" i="5"/>
  <c r="M17" i="5" s="1"/>
  <c r="F16" i="5"/>
  <c r="E16" i="5"/>
  <c r="F15" i="5"/>
  <c r="E15" i="5"/>
  <c r="K15" i="5" s="1"/>
  <c r="M14" i="5"/>
  <c r="K14" i="5"/>
  <c r="F14" i="5"/>
  <c r="E14" i="5"/>
  <c r="F13" i="5"/>
  <c r="E13" i="5"/>
  <c r="K13" i="5" s="1"/>
  <c r="F12" i="5"/>
  <c r="E12" i="5"/>
  <c r="F11" i="5"/>
  <c r="E11" i="5"/>
  <c r="K11" i="5" s="1"/>
  <c r="M10" i="5"/>
  <c r="K10" i="5"/>
  <c r="O10" i="5" s="1"/>
  <c r="F10" i="5"/>
  <c r="E10" i="5"/>
  <c r="F9" i="5"/>
  <c r="E9" i="5"/>
  <c r="F8" i="5"/>
  <c r="E8" i="5"/>
  <c r="M7" i="5"/>
  <c r="F7" i="5"/>
  <c r="E7" i="5"/>
  <c r="K7" i="5" s="1"/>
  <c r="O7" i="5" s="1"/>
  <c r="F6" i="5"/>
  <c r="E6" i="5"/>
  <c r="M6" i="5" s="1"/>
  <c r="F5" i="5"/>
  <c r="E5" i="5"/>
  <c r="K5" i="5" s="1"/>
  <c r="F4" i="5"/>
  <c r="E4" i="5"/>
  <c r="AH7" i="4"/>
  <c r="AI7" i="4" s="1"/>
  <c r="G33" i="5" s="1"/>
  <c r="H33" i="5" s="1"/>
  <c r="AH6" i="4"/>
  <c r="AI6" i="4" s="1"/>
  <c r="G32" i="5" s="1"/>
  <c r="H32" i="5" s="1"/>
  <c r="AH5" i="4"/>
  <c r="AI5" i="4" s="1"/>
  <c r="G31" i="5" s="1"/>
  <c r="H31" i="5" s="1"/>
  <c r="AH4" i="4"/>
  <c r="AI4" i="4" s="1"/>
  <c r="G30" i="5" s="1"/>
  <c r="H30" i="5" s="1"/>
  <c r="I30" i="5" s="1"/>
  <c r="AH11" i="3"/>
  <c r="AI11" i="3" s="1"/>
  <c r="G29" i="5" s="1"/>
  <c r="H29" i="5" s="1"/>
  <c r="AH10" i="3"/>
  <c r="AI10" i="3" s="1"/>
  <c r="G28" i="5" s="1"/>
  <c r="H28" i="5" s="1"/>
  <c r="AH9" i="3"/>
  <c r="AI9" i="3" s="1"/>
  <c r="G27" i="5" s="1"/>
  <c r="H27" i="5" s="1"/>
  <c r="AI8" i="3"/>
  <c r="G26" i="5" s="1"/>
  <c r="H26" i="5" s="1"/>
  <c r="I26" i="5" s="1"/>
  <c r="AH8" i="3"/>
  <c r="AH7" i="3"/>
  <c r="AI7" i="3" s="1"/>
  <c r="G25" i="5" s="1"/>
  <c r="H25" i="5" s="1"/>
  <c r="AH6" i="3"/>
  <c r="AI6" i="3" s="1"/>
  <c r="G24" i="5" s="1"/>
  <c r="H24" i="5" s="1"/>
  <c r="AH5" i="3"/>
  <c r="AI5" i="3" s="1"/>
  <c r="G23" i="5" s="1"/>
  <c r="H23" i="5" s="1"/>
  <c r="AH4" i="3"/>
  <c r="AI4" i="3" s="1"/>
  <c r="G22" i="5" s="1"/>
  <c r="H22" i="5" s="1"/>
  <c r="I22" i="5" s="1"/>
  <c r="AH15" i="2"/>
  <c r="AI15" i="2" s="1"/>
  <c r="G21" i="5" s="1"/>
  <c r="H21" i="5" s="1"/>
  <c r="AH14" i="2"/>
  <c r="AI14" i="2" s="1"/>
  <c r="G20" i="5" s="1"/>
  <c r="H20" i="5" s="1"/>
  <c r="AH13" i="2"/>
  <c r="AI13" i="2" s="1"/>
  <c r="G19" i="5" s="1"/>
  <c r="H19" i="5" s="1"/>
  <c r="AH12" i="2"/>
  <c r="AI12" i="2" s="1"/>
  <c r="G18" i="5" s="1"/>
  <c r="H18" i="5" s="1"/>
  <c r="I18" i="5" s="1"/>
  <c r="AH11" i="2"/>
  <c r="AI11" i="2" s="1"/>
  <c r="G17" i="5" s="1"/>
  <c r="H17" i="5" s="1"/>
  <c r="AH10" i="2"/>
  <c r="AI10" i="2" s="1"/>
  <c r="G16" i="5" s="1"/>
  <c r="H16" i="5" s="1"/>
  <c r="AH9" i="2"/>
  <c r="AI9" i="2" s="1"/>
  <c r="G15" i="5" s="1"/>
  <c r="H15" i="5" s="1"/>
  <c r="AI8" i="2"/>
  <c r="G14" i="5" s="1"/>
  <c r="H14" i="5" s="1"/>
  <c r="I14" i="5" s="1"/>
  <c r="AH8" i="2"/>
  <c r="AH7" i="2"/>
  <c r="AI7" i="2" s="1"/>
  <c r="G13" i="5" s="1"/>
  <c r="H13" i="5" s="1"/>
  <c r="AH6" i="2"/>
  <c r="AI6" i="2" s="1"/>
  <c r="G12" i="5" s="1"/>
  <c r="H12" i="5" s="1"/>
  <c r="AH5" i="2"/>
  <c r="AI5" i="2" s="1"/>
  <c r="G11" i="5" s="1"/>
  <c r="H11" i="5" s="1"/>
  <c r="AH4" i="2"/>
  <c r="AI4" i="2" s="1"/>
  <c r="G10" i="5" s="1"/>
  <c r="H10" i="5" s="1"/>
  <c r="AH9" i="1"/>
  <c r="AI9" i="1" s="1"/>
  <c r="G9" i="5" s="1"/>
  <c r="H9" i="5" s="1"/>
  <c r="AH8" i="1"/>
  <c r="AI8" i="1" s="1"/>
  <c r="G8" i="5" s="1"/>
  <c r="H8" i="5" s="1"/>
  <c r="AH7" i="1"/>
  <c r="AI7" i="1" s="1"/>
  <c r="G7" i="5" s="1"/>
  <c r="H7" i="5" s="1"/>
  <c r="AH6" i="1"/>
  <c r="AI6" i="1" s="1"/>
  <c r="G6" i="5" s="1"/>
  <c r="H6" i="5" s="1"/>
  <c r="AH5" i="1"/>
  <c r="AI5" i="1" s="1"/>
  <c r="G5" i="5" s="1"/>
  <c r="H5" i="5" s="1"/>
  <c r="AH4" i="1"/>
  <c r="AI4" i="1" s="1"/>
  <c r="G4" i="5" s="1"/>
  <c r="M15" i="5" l="1"/>
  <c r="O15" i="5" s="1"/>
  <c r="M19" i="5"/>
  <c r="O19" i="5" s="1"/>
  <c r="M23" i="5"/>
  <c r="M27" i="5"/>
  <c r="O27" i="5" s="1"/>
  <c r="M31" i="5"/>
  <c r="O31" i="5" s="1"/>
  <c r="M11" i="5"/>
  <c r="O11" i="5" s="1"/>
  <c r="K6" i="5"/>
  <c r="O6" i="5" s="1"/>
  <c r="P14" i="5"/>
  <c r="F34" i="5"/>
  <c r="K17" i="5"/>
  <c r="O17" i="5" s="1"/>
  <c r="K21" i="5"/>
  <c r="O21" i="5" s="1"/>
  <c r="K33" i="5"/>
  <c r="O33" i="5" s="1"/>
  <c r="O23" i="5"/>
  <c r="I10" i="5"/>
  <c r="P10" i="5" s="1"/>
  <c r="I6" i="5"/>
  <c r="O14" i="5"/>
  <c r="O18" i="5"/>
  <c r="P18" i="5" s="1"/>
  <c r="O22" i="5"/>
  <c r="P22" i="5" s="1"/>
  <c r="O26" i="5"/>
  <c r="P26" i="5" s="1"/>
  <c r="K30" i="5"/>
  <c r="O30" i="5" s="1"/>
  <c r="P30" i="5" s="1"/>
  <c r="I15" i="5"/>
  <c r="I19" i="5"/>
  <c r="I23" i="5"/>
  <c r="P23" i="5" s="1"/>
  <c r="I27" i="5"/>
  <c r="I31" i="5"/>
  <c r="I11" i="5"/>
  <c r="I7" i="5"/>
  <c r="P7" i="5" s="1"/>
  <c r="I16" i="5"/>
  <c r="I20" i="5"/>
  <c r="I24" i="5"/>
  <c r="I28" i="5"/>
  <c r="I32" i="5"/>
  <c r="I12" i="5"/>
  <c r="I8" i="5"/>
  <c r="I17" i="5"/>
  <c r="I21" i="5"/>
  <c r="I25" i="5"/>
  <c r="I29" i="5"/>
  <c r="I33" i="5"/>
  <c r="I13" i="5"/>
  <c r="I9" i="5"/>
  <c r="I5" i="5"/>
  <c r="G34" i="5"/>
  <c r="H4" i="5"/>
  <c r="I4" i="5" s="1"/>
  <c r="K9" i="5"/>
  <c r="M5" i="5"/>
  <c r="O5" i="5" s="1"/>
  <c r="P5" i="5" s="1"/>
  <c r="M9" i="5"/>
  <c r="M13" i="5"/>
  <c r="O13" i="5" s="1"/>
  <c r="M29" i="5"/>
  <c r="O29" i="5" s="1"/>
  <c r="K4" i="5"/>
  <c r="K8" i="5"/>
  <c r="M4" i="5"/>
  <c r="M8" i="5"/>
  <c r="M12" i="5"/>
  <c r="M16" i="5"/>
  <c r="M20" i="5"/>
  <c r="M24" i="5"/>
  <c r="M28" i="5"/>
  <c r="M32" i="5"/>
  <c r="M25" i="5"/>
  <c r="O25" i="5" s="1"/>
  <c r="K12" i="5"/>
  <c r="K16" i="5"/>
  <c r="K20" i="5"/>
  <c r="K24" i="5"/>
  <c r="K28" i="5"/>
  <c r="K32" i="5"/>
  <c r="E34" i="5"/>
  <c r="O8" i="5" l="1"/>
  <c r="P8" i="5" s="1"/>
  <c r="P33" i="5"/>
  <c r="P6" i="5"/>
  <c r="O12" i="5"/>
  <c r="P12" i="5" s="1"/>
  <c r="P21" i="5"/>
  <c r="P17" i="5"/>
  <c r="P29" i="5"/>
  <c r="P25" i="5"/>
  <c r="P13" i="5"/>
  <c r="P27" i="5"/>
  <c r="P11" i="5"/>
  <c r="P15" i="5"/>
  <c r="P19" i="5"/>
  <c r="P31" i="5"/>
  <c r="O20" i="5"/>
  <c r="P20" i="5"/>
  <c r="I34" i="5"/>
  <c r="K34" i="5"/>
  <c r="O4" i="5"/>
  <c r="O32" i="5"/>
  <c r="P32" i="5" s="1"/>
  <c r="O28" i="5"/>
  <c r="P28" i="5" s="1"/>
  <c r="O24" i="5"/>
  <c r="P24" i="5" s="1"/>
  <c r="O9" i="5"/>
  <c r="P9" i="5" s="1"/>
  <c r="M34" i="5"/>
  <c r="O16" i="5"/>
  <c r="P16" i="5" s="1"/>
  <c r="O34" i="5" l="1"/>
  <c r="P4" i="5"/>
  <c r="P34" i="5" s="1"/>
</calcChain>
</file>

<file path=xl/sharedStrings.xml><?xml version="1.0" encoding="utf-8"?>
<sst xmlns="http://schemas.openxmlformats.org/spreadsheetml/2006/main" count="268" uniqueCount="100">
  <si>
    <t>📋 شيت التقييم اليومي للـ KPIs — قسم الاستقبال والمكاتب الأمامية</t>
  </si>
  <si>
    <t>كود الموظف</t>
  </si>
  <si>
    <t>اسم الموظف</t>
  </si>
  <si>
    <t>الوظيفة</t>
  </si>
  <si>
    <t>يوم 1</t>
  </si>
  <si>
    <t>يوم 2</t>
  </si>
  <si>
    <t>يوم 3</t>
  </si>
  <si>
    <t>يوم 4</t>
  </si>
  <si>
    <t>يوم 5</t>
  </si>
  <si>
    <t>يوم 6</t>
  </si>
  <si>
    <t>يوم 7</t>
  </si>
  <si>
    <t>يوم 8</t>
  </si>
  <si>
    <t>يوم 9</t>
  </si>
  <si>
    <t>يوم 10</t>
  </si>
  <si>
    <t>يوم 11</t>
  </si>
  <si>
    <t>يوم 12</t>
  </si>
  <si>
    <t>يوم 13</t>
  </si>
  <si>
    <t>يوم 14</t>
  </si>
  <si>
    <t>يوم 15</t>
  </si>
  <si>
    <t>يوم 16</t>
  </si>
  <si>
    <t>يوم 17</t>
  </si>
  <si>
    <t>يوم 18</t>
  </si>
  <si>
    <t>يوم 19</t>
  </si>
  <si>
    <t>يوم 20</t>
  </si>
  <si>
    <t>يوم 21</t>
  </si>
  <si>
    <t>يوم 22</t>
  </si>
  <si>
    <t>يوم 23</t>
  </si>
  <si>
    <t>يوم 24</t>
  </si>
  <si>
    <t>يوم 25</t>
  </si>
  <si>
    <t>يوم 26</t>
  </si>
  <si>
    <t>يوم 27</t>
  </si>
  <si>
    <t>يوم 28</t>
  </si>
  <si>
    <t>يوم 29</t>
  </si>
  <si>
    <t>يوم 30</t>
  </si>
  <si>
    <t>إجمالي الدرجات (من 150)</t>
  </si>
  <si>
    <t>النسبة الشهرية % (من 100)</t>
  </si>
  <si>
    <t>EMP-101</t>
  </si>
  <si>
    <t>EMP-102</t>
  </si>
  <si>
    <t>EMP-103</t>
  </si>
  <si>
    <t>EMP-104</t>
  </si>
  <si>
    <t>EMP-105</t>
  </si>
  <si>
    <t>EMP-106</t>
  </si>
  <si>
    <t>🧹 شيت التقييم اليومي للـ KPIs — قسم الإشراف الداخلي والغرف</t>
  </si>
  <si>
    <t>EMP-107</t>
  </si>
  <si>
    <t>EMP-108</t>
  </si>
  <si>
    <t>EMP-109</t>
  </si>
  <si>
    <t>EMP-110</t>
  </si>
  <si>
    <t>EMP-111</t>
  </si>
  <si>
    <t>EMP-112</t>
  </si>
  <si>
    <t>EMP-113</t>
  </si>
  <si>
    <t>EMP-114</t>
  </si>
  <si>
    <t>EMP-115</t>
  </si>
  <si>
    <t>EMP-116</t>
  </si>
  <si>
    <t>EMP-117</t>
  </si>
  <si>
    <t>EMP-118</t>
  </si>
  <si>
    <t>🍽️ شيت التقييم اليومي للـ KPIs — قسم المطعم والكافيه</t>
  </si>
  <si>
    <t>EMP-119</t>
  </si>
  <si>
    <t>EMP-120</t>
  </si>
  <si>
    <t>EMP-121</t>
  </si>
  <si>
    <t>EMP-122</t>
  </si>
  <si>
    <t>EMP-123</t>
  </si>
  <si>
    <t>EMP-124</t>
  </si>
  <si>
    <t>EMP-125</t>
  </si>
  <si>
    <t>EMP-126</t>
  </si>
  <si>
    <t>🔧 شيت التقييم اليومي للـ KPIs — قسم الصيانة والخدمات المعاونة</t>
  </si>
  <si>
    <t>EMP-127</t>
  </si>
  <si>
    <t>EMP-128</t>
  </si>
  <si>
    <t>EMP-129</t>
  </si>
  <si>
    <t>EMP-130</t>
  </si>
  <si>
    <t>🏨 فندق هينو الأهرامات — كشف الرواتب المالي الشهري المرتبط آلياً بتقييم الـ KPIs اليومي</t>
  </si>
  <si>
    <t>القسم / الوظيفة</t>
  </si>
  <si>
    <t>الراتب الشامل</t>
  </si>
  <si>
    <t>الراتب الأساسي (75%)</t>
  </si>
  <si>
    <t>حافز الـ KPI المتاح (25%)</t>
  </si>
  <si>
    <t>التقييم الشهري (من 100)</t>
  </si>
  <si>
    <t>نسبة استحقاق الحافز</t>
  </si>
  <si>
    <t>حافز الأداء المستحق</t>
  </si>
  <si>
    <t>أيام الغياب</t>
  </si>
  <si>
    <t>خصم الغياب (جـ)</t>
  </si>
  <si>
    <t>أيام الجزاءات</t>
  </si>
  <si>
    <t>خصم الجزاءات (جـ)</t>
  </si>
  <si>
    <t>خصم السلف</t>
  </si>
  <si>
    <t>إجمالي الخصومات</t>
  </si>
  <si>
    <t>صافي الراتب المدفوع</t>
  </si>
  <si>
    <t>التوقيع بالاستلام</t>
  </si>
  <si>
    <t/>
  </si>
  <si>
    <t>الإجمالي الكلي</t>
  </si>
  <si>
    <t>30 موظف</t>
  </si>
  <si>
    <t>-</t>
  </si>
  <si>
    <t>💡 قواعد وشروط حساب أجور وحوافز الـ KPIs اليومية — فندق هينو الأهرامات</t>
  </si>
  <si>
    <t>معيار التقييم اليومي (5 درجات يومياً):</t>
  </si>
  <si>
    <t>1. الحضور والالتزام بالميعاد (1 درجة)
2. النظافة الشخصية والمظهر (1 درجة)
3. ارتداء الزي الرسمي بالكامل Uniform (1 درجة)
4. الابتسامة واللباقة الفندقية أثناء العمل (1 درجة)
5. جودة وإتقان مهام الوظيفة الفندقية (1 درجة).</t>
  </si>
  <si>
    <t>طريقة حساب التقييم الشهري:</t>
  </si>
  <si>
    <t>يتم تجميع درجات الأيام الـ 30 (حد أقصى 150 درجة)، وتحسب النسبة المئوية % وتُرَحَّل آلياً إلى شيت المرتبات الرئيسي.</t>
  </si>
  <si>
    <t>معادلة هيكلة الراتب (75% / 25%):</t>
  </si>
  <si>
    <t>الراتب الشامل يتكون من: 75% راتب أساسي ثابت + 25% حافز تقييم أداء متغيّر (KPIs).</t>
  </si>
  <si>
    <t>معيار استحقاق حافز الـ KPI (من 100):</t>
  </si>
  <si>
    <t>• تقييم 90% إلى 100% ⬅️ صرف 100% من الحافز المتاح.
• تقييم 80% إلى 89% ⬅️ صرف 75% من الحافز المتاح.
• تقييم 70% إلى 79% ⬅️ صرف 50% من الحافز المتاح.
• تقييم أقل من 70% ⬅️ صرف 0% من الحافز (حرمان لحين التحسين).</t>
  </si>
  <si>
    <t>معادلة خصم الغياب والجزاءات:</t>
  </si>
  <si>
    <t>خصم أجر اليوم = (الراتب الأساسي 75% ÷ 30 يوم) × عدد أيام الغياب أو الجزاءات.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</si>
</sst>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 جـ&quot;"/>
  </numFmts>
  <fonts count="15" x14ac:knownFonts="1">
    <font>
      <sz val="11"/>
      <color theme="1"/>
      <name val="Calibri"/>
      <family val="2"/>
      <scheme val="minor"/>
    </font>
    <font>
      <b/>
      <sz val="14"/>
      <color rgb="FFFFFFFF"/>
      <name val="Arial"/>
    </font>
    <font>
      <b/>
      <sz val="9"/>
      <color rgb="FFFFFFFF"/>
      <name val="Arial"/>
    </font>
    <font>
      <sz val="9"/>
      <name val="Arial"/>
    </font>
    <font>
      <b/>
      <sz val="9"/>
      <color rgb="FF276749"/>
      <name val="Arial"/>
    </font>
    <font>
      <b/>
      <sz val="10"/>
      <color rgb="FF1F4E78"/>
      <name val="Arial"/>
    </font>
    <font>
      <b/>
      <sz val="9"/>
      <color rgb="FFC53030"/>
      <name val="Arial"/>
    </font>
    <font>
      <b/>
      <sz val="16"/>
      <color rgb="FFFFFFFF"/>
      <name val="Arial"/>
    </font>
    <font>
      <b/>
      <sz val="10"/>
      <color rgb="FFFFFFFF"/>
      <name val="Arial"/>
    </font>
    <font>
      <sz val="9.5"/>
      <name val="Arial"/>
    </font>
    <font>
      <b/>
      <sz val="9.5"/>
      <color rgb="FF1F4E78"/>
      <name val="Arial"/>
    </font>
    <font>
      <b/>
      <sz val="9.5"/>
      <color rgb="FF276749"/>
      <name val="Arial"/>
    </font>
    <font>
      <b/>
      <sz val="15"/>
      <color rgb="FFFFFFFF"/>
      <name val="Arial"/>
    </font>
    <font>
      <b/>
      <sz val="11"/>
      <color rgb="FF1F4E78"/>
      <name val="Arial"/>
    </font>
    <font>
      <sz val="10"/>
      <name val="Arial"/>
    </font>
  </fonts>
  <fills count="12">
    <fill>
      <patternFill patternType="none"/>
    </fill>
    <fill>
      <patternFill patternType="gray125"/>
    </fill>
    <fill>
      <patternFill patternType="solid">
        <fgColor rgb="FF1F4E78"/>
      </patternFill>
    </fill>
    <fill>
      <patternFill patternType="solid">
        <fgColor rgb="FF2F5597"/>
      </patternFill>
    </fill>
    <fill>
      <patternFill patternType="solid">
        <fgColor rgb="FFF9FAFB"/>
      </patternFill>
    </fill>
    <fill>
      <patternFill patternType="solid">
        <fgColor rgb="FFEBF8FF"/>
      </patternFill>
    </fill>
    <fill>
      <patternFill patternType="solid">
        <fgColor rgb="FFFFFFFF"/>
      </patternFill>
    </fill>
    <fill>
      <patternFill patternType="solid">
        <fgColor rgb="FFFFF5F5"/>
      </patternFill>
    </fill>
    <fill>
      <patternFill patternType="solid">
        <fgColor rgb="FFEFF6FF"/>
      </patternFill>
    </fill>
    <fill>
      <patternFill patternType="solid">
        <fgColor rgb="FFE6F4EA"/>
      </patternFill>
    </fill>
    <fill>
      <patternFill patternType="solid">
        <fgColor rgb="FFD9E1F2"/>
      </patternFill>
    </fill>
    <fill>
      <patternFill patternType="solid">
        <fgColor rgb="FF375623"/>
      </patternFill>
    </fill>
  </fills>
  <borders count="4">
    <border>
      <left/>
      <right/>
      <top/>
      <bottom/>
      <diagonal/>
    </border>
    <border>
      <left style="thin">
        <color rgb="FFCCCCCC"/>
      </left>
      <right style="thin">
        <color rgb="FFCCCCCC"/>
      </right>
      <top style="thin">
        <color rgb="FFCCCCCC"/>
      </top>
      <bottom style="medium">
        <color rgb="FF1F4E78"/>
      </bottom>
      <diagonal/>
    </border>
    <border>
      <left style="thin">
        <color rgb="FFE5E7EB"/>
      </left>
      <right style="thin">
        <color rgb="FFE5E7EB"/>
      </right>
      <top style="thin">
        <color rgb="FFE5E7EB"/>
      </top>
      <bottom style="thin">
        <color rgb="FFE5E7EB"/>
      </bottom>
      <diagonal/>
    </border>
    <border>
      <left style="thin">
        <color rgb="FFB4C6E7"/>
      </left>
      <right style="thin">
        <color rgb="FFB4C6E7"/>
      </right>
      <top style="double">
        <color rgb="FF1F4E78"/>
      </top>
      <bottom style="double">
        <color rgb="FF1F4E78"/>
      </bottom>
      <diagonal/>
    </border>
  </borders>
  <cellStyleXfs count="1">
    <xf numFmtId="0" fontId="0" fillId="0" borderId="0"/>
  </cellStyleXfs>
  <cellXfs count="28">
    <xf numFmtId="0" fontId="0" fillId="0" borderId="0" xfId="0"/>
    <xf numFmtId="0" fontId="2" fillId="3" borderId="1" xfId="0" applyFont="1" applyFill="1" applyBorder="1" applyAlignment="1">
      <alignment horizontal="center" vertical="center"/>
    </xf>
    <xf numFmtId="0" fontId="3" fillId="4" borderId="2" xfId="0" applyFont="1" applyFill="1" applyBorder="1" applyAlignment="1">
      <alignment horizontal="right" vertical="center"/>
    </xf>
    <xf numFmtId="0" fontId="4" fillId="4" borderId="2" xfId="0" applyFont="1" applyFill="1" applyBorder="1" applyAlignment="1">
      <alignment horizontal="center" vertical="center"/>
    </xf>
    <xf numFmtId="0" fontId="3" fillId="4" borderId="2" xfId="0" applyFont="1" applyFill="1" applyBorder="1" applyAlignment="1">
      <alignment horizontal="center" vertical="center"/>
    </xf>
    <xf numFmtId="0" fontId="5" fillId="5" borderId="2" xfId="0" applyFont="1" applyFill="1" applyBorder="1" applyAlignment="1">
      <alignment horizontal="center" vertical="center"/>
    </xf>
    <xf numFmtId="0" fontId="3" fillId="6" borderId="2" xfId="0" applyFont="1" applyFill="1" applyBorder="1" applyAlignment="1">
      <alignment horizontal="right" vertical="center"/>
    </xf>
    <xf numFmtId="0" fontId="4" fillId="6" borderId="2" xfId="0" applyFont="1" applyFill="1" applyBorder="1" applyAlignment="1">
      <alignment horizontal="center" vertical="center"/>
    </xf>
    <xf numFmtId="0" fontId="3" fillId="6" borderId="2" xfId="0" applyFont="1" applyFill="1" applyBorder="1" applyAlignment="1">
      <alignment horizontal="center" vertical="center"/>
    </xf>
    <xf numFmtId="0" fontId="6" fillId="7" borderId="2" xfId="0" applyFont="1" applyFill="1" applyBorder="1" applyAlignment="1">
      <alignment horizontal="center" vertical="center"/>
    </xf>
    <xf numFmtId="0" fontId="8" fillId="3" borderId="1" xfId="0" applyFont="1" applyFill="1" applyBorder="1" applyAlignment="1">
      <alignment horizontal="center" vertical="center" wrapText="1"/>
    </xf>
    <xf numFmtId="0" fontId="9" fillId="4" borderId="2" xfId="0" applyFont="1" applyFill="1" applyBorder="1" applyAlignment="1">
      <alignment horizontal="right" vertical="center"/>
    </xf>
    <xf numFmtId="164" fontId="9" fillId="4" borderId="2" xfId="0" applyNumberFormat="1" applyFont="1" applyFill="1" applyBorder="1" applyAlignment="1">
      <alignment horizontal="center" vertical="center"/>
    </xf>
    <xf numFmtId="0" fontId="10" fillId="8" borderId="2" xfId="0" applyFont="1" applyFill="1" applyBorder="1" applyAlignment="1">
      <alignment horizontal="center" vertical="center"/>
    </xf>
    <xf numFmtId="9" fontId="10" fillId="4" borderId="2" xfId="0" applyNumberFormat="1" applyFont="1" applyFill="1" applyBorder="1" applyAlignment="1">
      <alignment horizontal="center" vertical="center"/>
    </xf>
    <xf numFmtId="0" fontId="9" fillId="4" borderId="2" xfId="0" applyFont="1" applyFill="1" applyBorder="1" applyAlignment="1">
      <alignment horizontal="center" vertical="center"/>
    </xf>
    <xf numFmtId="164" fontId="11" fillId="9" borderId="2" xfId="0" applyNumberFormat="1" applyFont="1" applyFill="1" applyBorder="1" applyAlignment="1">
      <alignment horizontal="center" vertical="center"/>
    </xf>
    <xf numFmtId="0" fontId="9" fillId="6" borderId="2" xfId="0" applyFont="1" applyFill="1" applyBorder="1" applyAlignment="1">
      <alignment horizontal="right" vertical="center"/>
    </xf>
    <xf numFmtId="164" fontId="9" fillId="6" borderId="2" xfId="0" applyNumberFormat="1" applyFont="1" applyFill="1" applyBorder="1" applyAlignment="1">
      <alignment horizontal="center" vertical="center"/>
    </xf>
    <xf numFmtId="9" fontId="10" fillId="6" borderId="2" xfId="0" applyNumberFormat="1" applyFont="1" applyFill="1" applyBorder="1" applyAlignment="1">
      <alignment horizontal="center" vertical="center"/>
    </xf>
    <xf numFmtId="0" fontId="9" fillId="6" borderId="2" xfId="0" applyFont="1" applyFill="1" applyBorder="1" applyAlignment="1">
      <alignment horizontal="center" vertical="center"/>
    </xf>
    <xf numFmtId="0" fontId="5" fillId="10" borderId="3" xfId="0" applyFont="1" applyFill="1" applyBorder="1" applyAlignment="1">
      <alignment horizontal="center" vertical="center"/>
    </xf>
    <xf numFmtId="164" fontId="5" fillId="10" borderId="3" xfId="0" applyNumberFormat="1" applyFont="1" applyFill="1" applyBorder="1" applyAlignment="1">
      <alignment horizontal="center" vertical="center"/>
    </xf>
    <xf numFmtId="0" fontId="13" fillId="0" borderId="0" xfId="0" applyFont="1"/>
    <xf numFmtId="0" fontId="14" fillId="0" borderId="0" xfId="0" applyFont="1" applyAlignment="1">
      <alignment wrapText="1"/>
    </xf>
    <xf numFmtId="0" fontId="1" fillId="2" borderId="0" xfId="0" applyFont="1" applyFill="1" applyAlignment="1">
      <alignment horizontal="center" vertical="center"/>
    </xf>
    <xf numFmtId="0" fontId="7" fillId="2" borderId="0" xfId="0" applyFont="1" applyFill="1" applyAlignment="1">
      <alignment horizontal="center" vertical="center"/>
    </xf>
    <xf numFmtId="0" fontId="12" fillId="11"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9"/>
  <sheetViews>
    <sheetView rightToLeft="1" workbookViewId="0">
      <selection activeCell="B4" sqref="B4:C9"/>
    </sheetView>
  </sheetViews>
  <sheetFormatPr defaultRowHeight="14.5" x14ac:dyDescent="0.35"/>
  <cols>
    <col min="1" max="1" width="12" customWidth="1"/>
    <col min="2" max="2" width="22" customWidth="1"/>
    <col min="3" max="3" width="24" customWidth="1"/>
    <col min="4" max="33" width="6.453125" customWidth="1"/>
    <col min="34" max="34" width="18" customWidth="1"/>
    <col min="35" max="35" width="22" customWidth="1"/>
  </cols>
  <sheetData>
    <row r="1" spans="1:36" ht="18" x14ac:dyDescent="0.35">
      <c r="A1" s="25" t="s">
        <v>0</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row>
    <row r="3" spans="1:36" ht="28" customHeight="1" x14ac:dyDescent="0.35">
      <c r="A3" s="1" t="s">
        <v>1</v>
      </c>
      <c r="B3" s="1" t="s">
        <v>2</v>
      </c>
      <c r="C3" s="1" t="s">
        <v>3</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row>
    <row r="4" spans="1:36" ht="22" customHeight="1" x14ac:dyDescent="0.35">
      <c r="A4" s="2" t="s">
        <v>36</v>
      </c>
      <c r="B4" s="2"/>
      <c r="C4" s="2"/>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4">
        <f t="shared" ref="AH4:AH9" si="0">SUM(D4:AG4)</f>
        <v>0</v>
      </c>
      <c r="AI4" s="5">
        <f t="shared" ref="AI4:AI9" si="1">ROUND((AH4/150)*100, 0)</f>
        <v>0</v>
      </c>
    </row>
    <row r="5" spans="1:36" ht="22" customHeight="1" x14ac:dyDescent="0.35">
      <c r="A5" s="6" t="s">
        <v>37</v>
      </c>
      <c r="B5" s="6"/>
      <c r="C5" s="6"/>
      <c r="D5" s="7"/>
      <c r="E5" s="7"/>
      <c r="F5" s="7"/>
      <c r="G5" s="7"/>
      <c r="H5" s="8"/>
      <c r="I5" s="7"/>
      <c r="J5" s="7"/>
      <c r="K5" s="7"/>
      <c r="L5" s="7"/>
      <c r="M5" s="9"/>
      <c r="N5" s="7"/>
      <c r="O5" s="7"/>
      <c r="P5" s="7"/>
      <c r="Q5" s="7"/>
      <c r="R5" s="8"/>
      <c r="S5" s="7"/>
      <c r="T5" s="7"/>
      <c r="U5" s="7"/>
      <c r="V5" s="7"/>
      <c r="W5" s="8"/>
      <c r="X5" s="7"/>
      <c r="Y5" s="7"/>
      <c r="Z5" s="7"/>
      <c r="AA5" s="7"/>
      <c r="AB5" s="8"/>
      <c r="AC5" s="7"/>
      <c r="AD5" s="7"/>
      <c r="AE5" s="7"/>
      <c r="AF5" s="7"/>
      <c r="AG5" s="8"/>
      <c r="AH5" s="8">
        <f t="shared" si="0"/>
        <v>0</v>
      </c>
      <c r="AI5" s="5">
        <f t="shared" si="1"/>
        <v>0</v>
      </c>
    </row>
    <row r="6" spans="1:36" ht="22" customHeight="1" x14ac:dyDescent="0.35">
      <c r="A6" s="2" t="s">
        <v>38</v>
      </c>
      <c r="B6" s="2"/>
      <c r="C6" s="2"/>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4">
        <f t="shared" si="0"/>
        <v>0</v>
      </c>
      <c r="AI6" s="5">
        <f t="shared" si="1"/>
        <v>0</v>
      </c>
    </row>
    <row r="7" spans="1:36" ht="22" customHeight="1" x14ac:dyDescent="0.35">
      <c r="A7" s="6" t="s">
        <v>39</v>
      </c>
      <c r="B7" s="6"/>
      <c r="C7" s="6"/>
      <c r="D7" s="7"/>
      <c r="E7" s="7"/>
      <c r="F7" s="7"/>
      <c r="G7" s="7"/>
      <c r="H7" s="8"/>
      <c r="I7" s="7"/>
      <c r="J7" s="8"/>
      <c r="K7" s="7"/>
      <c r="L7" s="7"/>
      <c r="M7" s="8"/>
      <c r="N7" s="7"/>
      <c r="O7" s="7"/>
      <c r="P7" s="7"/>
      <c r="Q7" s="8"/>
      <c r="R7" s="8"/>
      <c r="S7" s="7"/>
      <c r="T7" s="7"/>
      <c r="U7" s="7"/>
      <c r="V7" s="7"/>
      <c r="W7" s="8"/>
      <c r="X7" s="8"/>
      <c r="Y7" s="7"/>
      <c r="Z7" s="7"/>
      <c r="AA7" s="7"/>
      <c r="AB7" s="8"/>
      <c r="AC7" s="7"/>
      <c r="AD7" s="7"/>
      <c r="AE7" s="8"/>
      <c r="AF7" s="7"/>
      <c r="AG7" s="8"/>
      <c r="AH7" s="8">
        <f t="shared" si="0"/>
        <v>0</v>
      </c>
      <c r="AI7" s="5">
        <f t="shared" si="1"/>
        <v>0</v>
      </c>
    </row>
    <row r="8" spans="1:36" ht="22" customHeight="1" x14ac:dyDescent="0.35">
      <c r="A8" s="2" t="s">
        <v>40</v>
      </c>
      <c r="B8" s="2"/>
      <c r="C8" s="2"/>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4">
        <f t="shared" si="0"/>
        <v>0</v>
      </c>
      <c r="AI8" s="5">
        <f t="shared" si="1"/>
        <v>0</v>
      </c>
    </row>
    <row r="9" spans="1:36" ht="22" customHeight="1" x14ac:dyDescent="0.35">
      <c r="A9" s="6" t="s">
        <v>41</v>
      </c>
      <c r="B9" s="6"/>
      <c r="C9" s="6"/>
      <c r="D9" s="7"/>
      <c r="E9" s="7"/>
      <c r="F9" s="7"/>
      <c r="G9" s="7"/>
      <c r="H9" s="8"/>
      <c r="I9" s="7"/>
      <c r="J9" s="7"/>
      <c r="K9" s="7"/>
      <c r="L9" s="7"/>
      <c r="M9" s="9"/>
      <c r="N9" s="7"/>
      <c r="O9" s="7"/>
      <c r="P9" s="7"/>
      <c r="Q9" s="7"/>
      <c r="R9" s="8"/>
      <c r="S9" s="7"/>
      <c r="T9" s="7"/>
      <c r="U9" s="7"/>
      <c r="V9" s="7"/>
      <c r="W9" s="8"/>
      <c r="X9" s="7"/>
      <c r="Y9" s="7"/>
      <c r="Z9" s="7"/>
      <c r="AA9" s="7"/>
      <c r="AB9" s="8"/>
      <c r="AC9" s="7"/>
      <c r="AD9" s="7"/>
      <c r="AE9" s="7"/>
      <c r="AF9" s="7"/>
      <c r="AG9" s="8"/>
      <c r="AH9" s="8">
        <f t="shared" si="0"/>
        <v>0</v>
      </c>
      <c r="AI9" s="5">
        <f t="shared" si="1"/>
        <v>0</v>
      </c>
    </row>
  </sheetData>
  <mergeCells count="1">
    <mergeCell ref="A1:AJ1"/>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15"/>
  <sheetViews>
    <sheetView rightToLeft="1" workbookViewId="0">
      <selection activeCell="B4" sqref="B4:C15"/>
    </sheetView>
  </sheetViews>
  <sheetFormatPr defaultRowHeight="14.5" x14ac:dyDescent="0.35"/>
  <cols>
    <col min="1" max="1" width="12" customWidth="1"/>
    <col min="2" max="2" width="22" customWidth="1"/>
    <col min="3" max="3" width="24" customWidth="1"/>
    <col min="4" max="33" width="6.453125" customWidth="1"/>
    <col min="34" max="34" width="18" customWidth="1"/>
    <col min="35" max="35" width="22" customWidth="1"/>
  </cols>
  <sheetData>
    <row r="1" spans="1:36" ht="18" x14ac:dyDescent="0.35">
      <c r="A1" s="25" t="s">
        <v>42</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row>
    <row r="3" spans="1:36" ht="28" customHeight="1" x14ac:dyDescent="0.35">
      <c r="A3" s="1" t="s">
        <v>1</v>
      </c>
      <c r="B3" s="1" t="s">
        <v>2</v>
      </c>
      <c r="C3" s="1" t="s">
        <v>3</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row>
    <row r="4" spans="1:36" ht="22" customHeight="1" x14ac:dyDescent="0.35">
      <c r="A4" s="2" t="s">
        <v>43</v>
      </c>
      <c r="B4" s="2"/>
      <c r="C4" s="2"/>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4">
        <f t="shared" ref="AH4:AH15" si="0">SUM(D4:AG4)</f>
        <v>0</v>
      </c>
      <c r="AI4" s="5">
        <f t="shared" ref="AI4:AI15" si="1">ROUND((AH4/150)*100, 0)</f>
        <v>0</v>
      </c>
    </row>
    <row r="5" spans="1:36" ht="22" customHeight="1" x14ac:dyDescent="0.35">
      <c r="A5" s="6" t="s">
        <v>44</v>
      </c>
      <c r="B5" s="6"/>
      <c r="C5" s="6"/>
      <c r="D5" s="7"/>
      <c r="E5" s="7"/>
      <c r="F5" s="7"/>
      <c r="G5" s="7"/>
      <c r="H5" s="8"/>
      <c r="I5" s="7"/>
      <c r="J5" s="7"/>
      <c r="K5" s="7"/>
      <c r="L5" s="7"/>
      <c r="M5" s="9"/>
      <c r="N5" s="7"/>
      <c r="O5" s="7"/>
      <c r="P5" s="7"/>
      <c r="Q5" s="7"/>
      <c r="R5" s="8"/>
      <c r="S5" s="7"/>
      <c r="T5" s="7"/>
      <c r="U5" s="7"/>
      <c r="V5" s="7"/>
      <c r="W5" s="8"/>
      <c r="X5" s="7"/>
      <c r="Y5" s="7"/>
      <c r="Z5" s="7"/>
      <c r="AA5" s="7"/>
      <c r="AB5" s="8"/>
      <c r="AC5" s="7"/>
      <c r="AD5" s="7"/>
      <c r="AE5" s="7"/>
      <c r="AF5" s="7"/>
      <c r="AG5" s="8"/>
      <c r="AH5" s="8">
        <f t="shared" si="0"/>
        <v>0</v>
      </c>
      <c r="AI5" s="5">
        <f t="shared" si="1"/>
        <v>0</v>
      </c>
    </row>
    <row r="6" spans="1:36" ht="22" customHeight="1" x14ac:dyDescent="0.35">
      <c r="A6" s="2" t="s">
        <v>45</v>
      </c>
      <c r="B6" s="2"/>
      <c r="C6" s="2"/>
      <c r="D6" s="3"/>
      <c r="E6" s="3"/>
      <c r="F6" s="3"/>
      <c r="G6" s="3"/>
      <c r="H6" s="3"/>
      <c r="I6" s="3"/>
      <c r="J6" s="4"/>
      <c r="K6" s="3"/>
      <c r="L6" s="3"/>
      <c r="M6" s="9"/>
      <c r="N6" s="3"/>
      <c r="O6" s="3"/>
      <c r="P6" s="3"/>
      <c r="Q6" s="4"/>
      <c r="R6" s="3"/>
      <c r="S6" s="3"/>
      <c r="T6" s="3"/>
      <c r="U6" s="3"/>
      <c r="V6" s="3"/>
      <c r="W6" s="9"/>
      <c r="X6" s="4"/>
      <c r="Y6" s="3"/>
      <c r="Z6" s="3"/>
      <c r="AA6" s="3"/>
      <c r="AB6" s="3"/>
      <c r="AC6" s="3"/>
      <c r="AD6" s="3"/>
      <c r="AE6" s="4"/>
      <c r="AF6" s="3"/>
      <c r="AG6" s="3"/>
      <c r="AH6" s="4">
        <f t="shared" si="0"/>
        <v>0</v>
      </c>
      <c r="AI6" s="5">
        <f t="shared" si="1"/>
        <v>0</v>
      </c>
    </row>
    <row r="7" spans="1:36" ht="22" customHeight="1" x14ac:dyDescent="0.35">
      <c r="A7" s="6" t="s">
        <v>46</v>
      </c>
      <c r="B7" s="6"/>
      <c r="C7" s="6"/>
      <c r="D7" s="7"/>
      <c r="E7" s="7"/>
      <c r="F7" s="7"/>
      <c r="G7" s="7"/>
      <c r="H7" s="8"/>
      <c r="I7" s="7"/>
      <c r="J7" s="7"/>
      <c r="K7" s="7"/>
      <c r="L7" s="7"/>
      <c r="M7" s="8"/>
      <c r="N7" s="7"/>
      <c r="O7" s="7"/>
      <c r="P7" s="7"/>
      <c r="Q7" s="7"/>
      <c r="R7" s="8"/>
      <c r="S7" s="7"/>
      <c r="T7" s="7"/>
      <c r="U7" s="7"/>
      <c r="V7" s="7"/>
      <c r="W7" s="8"/>
      <c r="X7" s="7"/>
      <c r="Y7" s="7"/>
      <c r="Z7" s="7"/>
      <c r="AA7" s="7"/>
      <c r="AB7" s="8"/>
      <c r="AC7" s="7"/>
      <c r="AD7" s="7"/>
      <c r="AE7" s="7"/>
      <c r="AF7" s="7"/>
      <c r="AG7" s="8"/>
      <c r="AH7" s="8">
        <f t="shared" si="0"/>
        <v>0</v>
      </c>
      <c r="AI7" s="5">
        <f t="shared" si="1"/>
        <v>0</v>
      </c>
    </row>
    <row r="8" spans="1:36" ht="22" customHeight="1" x14ac:dyDescent="0.35">
      <c r="A8" s="2" t="s">
        <v>47</v>
      </c>
      <c r="B8" s="2"/>
      <c r="C8" s="2"/>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4">
        <f t="shared" si="0"/>
        <v>0</v>
      </c>
      <c r="AI8" s="5">
        <f t="shared" si="1"/>
        <v>0</v>
      </c>
    </row>
    <row r="9" spans="1:36" ht="22" customHeight="1" x14ac:dyDescent="0.35">
      <c r="A9" s="6" t="s">
        <v>48</v>
      </c>
      <c r="B9" s="6"/>
      <c r="C9" s="6"/>
      <c r="D9" s="7"/>
      <c r="E9" s="7"/>
      <c r="F9" s="7"/>
      <c r="G9" s="7"/>
      <c r="H9" s="8"/>
      <c r="I9" s="7"/>
      <c r="J9" s="8"/>
      <c r="K9" s="7"/>
      <c r="L9" s="7"/>
      <c r="M9" s="9"/>
      <c r="N9" s="7"/>
      <c r="O9" s="7"/>
      <c r="P9" s="7"/>
      <c r="Q9" s="8"/>
      <c r="R9" s="8"/>
      <c r="S9" s="7"/>
      <c r="T9" s="7"/>
      <c r="U9" s="7"/>
      <c r="V9" s="7"/>
      <c r="W9" s="9"/>
      <c r="X9" s="8"/>
      <c r="Y9" s="7"/>
      <c r="Z9" s="7"/>
      <c r="AA9" s="7"/>
      <c r="AB9" s="8"/>
      <c r="AC9" s="7"/>
      <c r="AD9" s="7"/>
      <c r="AE9" s="8"/>
      <c r="AF9" s="7"/>
      <c r="AG9" s="9"/>
      <c r="AH9" s="8">
        <f t="shared" si="0"/>
        <v>0</v>
      </c>
      <c r="AI9" s="5">
        <f t="shared" si="1"/>
        <v>0</v>
      </c>
    </row>
    <row r="10" spans="1:36" ht="22" customHeight="1" x14ac:dyDescent="0.35">
      <c r="A10" s="2" t="s">
        <v>49</v>
      </c>
      <c r="B10" s="2"/>
      <c r="C10" s="2"/>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4">
        <f t="shared" si="0"/>
        <v>0</v>
      </c>
      <c r="AI10" s="5">
        <f t="shared" si="1"/>
        <v>0</v>
      </c>
    </row>
    <row r="11" spans="1:36" ht="22" customHeight="1" x14ac:dyDescent="0.35">
      <c r="A11" s="6" t="s">
        <v>50</v>
      </c>
      <c r="B11" s="6"/>
      <c r="C11" s="6"/>
      <c r="D11" s="7"/>
      <c r="E11" s="7"/>
      <c r="F11" s="7"/>
      <c r="G11" s="7"/>
      <c r="H11" s="8"/>
      <c r="I11" s="7"/>
      <c r="J11" s="7"/>
      <c r="K11" s="7"/>
      <c r="L11" s="7"/>
      <c r="M11" s="8"/>
      <c r="N11" s="7"/>
      <c r="O11" s="7"/>
      <c r="P11" s="7"/>
      <c r="Q11" s="7"/>
      <c r="R11" s="8"/>
      <c r="S11" s="7"/>
      <c r="T11" s="7"/>
      <c r="U11" s="7"/>
      <c r="V11" s="7"/>
      <c r="W11" s="8"/>
      <c r="X11" s="7"/>
      <c r="Y11" s="7"/>
      <c r="Z11" s="7"/>
      <c r="AA11" s="7"/>
      <c r="AB11" s="8"/>
      <c r="AC11" s="7"/>
      <c r="AD11" s="7"/>
      <c r="AE11" s="7"/>
      <c r="AF11" s="7"/>
      <c r="AG11" s="8"/>
      <c r="AH11" s="8">
        <f t="shared" si="0"/>
        <v>0</v>
      </c>
      <c r="AI11" s="5">
        <f t="shared" si="1"/>
        <v>0</v>
      </c>
    </row>
    <row r="12" spans="1:36" ht="22" customHeight="1" x14ac:dyDescent="0.35">
      <c r="A12" s="2" t="s">
        <v>51</v>
      </c>
      <c r="B12" s="2"/>
      <c r="C12" s="2"/>
      <c r="D12" s="3"/>
      <c r="E12" s="3"/>
      <c r="F12" s="3"/>
      <c r="G12" s="3"/>
      <c r="H12" s="3"/>
      <c r="I12" s="3"/>
      <c r="J12" s="3"/>
      <c r="K12" s="3"/>
      <c r="L12" s="3"/>
      <c r="M12" s="9"/>
      <c r="N12" s="3"/>
      <c r="O12" s="3"/>
      <c r="P12" s="3"/>
      <c r="Q12" s="3"/>
      <c r="R12" s="3"/>
      <c r="S12" s="3"/>
      <c r="T12" s="3"/>
      <c r="U12" s="3"/>
      <c r="V12" s="3"/>
      <c r="W12" s="3"/>
      <c r="X12" s="3"/>
      <c r="Y12" s="3"/>
      <c r="Z12" s="3"/>
      <c r="AA12" s="3"/>
      <c r="AB12" s="3"/>
      <c r="AC12" s="3"/>
      <c r="AD12" s="3"/>
      <c r="AE12" s="3"/>
      <c r="AF12" s="3"/>
      <c r="AG12" s="3"/>
      <c r="AH12" s="4">
        <f t="shared" si="0"/>
        <v>0</v>
      </c>
      <c r="AI12" s="5">
        <f t="shared" si="1"/>
        <v>0</v>
      </c>
    </row>
    <row r="13" spans="1:36" ht="22" customHeight="1" x14ac:dyDescent="0.35">
      <c r="A13" s="6" t="s">
        <v>52</v>
      </c>
      <c r="B13" s="6"/>
      <c r="C13" s="6"/>
      <c r="D13" s="7"/>
      <c r="E13" s="7"/>
      <c r="F13" s="7"/>
      <c r="G13" s="7"/>
      <c r="H13" s="8"/>
      <c r="I13" s="7"/>
      <c r="J13" s="7"/>
      <c r="K13" s="7"/>
      <c r="L13" s="7"/>
      <c r="M13" s="9"/>
      <c r="N13" s="7"/>
      <c r="O13" s="7"/>
      <c r="P13" s="7"/>
      <c r="Q13" s="7"/>
      <c r="R13" s="8"/>
      <c r="S13" s="7"/>
      <c r="T13" s="7"/>
      <c r="U13" s="7"/>
      <c r="V13" s="7"/>
      <c r="W13" s="9"/>
      <c r="X13" s="7"/>
      <c r="Y13" s="7"/>
      <c r="Z13" s="7"/>
      <c r="AA13" s="7"/>
      <c r="AB13" s="8"/>
      <c r="AC13" s="7"/>
      <c r="AD13" s="7"/>
      <c r="AE13" s="7"/>
      <c r="AF13" s="7"/>
      <c r="AG13" s="8"/>
      <c r="AH13" s="8">
        <f t="shared" si="0"/>
        <v>0</v>
      </c>
      <c r="AI13" s="5">
        <f t="shared" si="1"/>
        <v>0</v>
      </c>
    </row>
    <row r="14" spans="1:36" ht="22" customHeight="1" x14ac:dyDescent="0.35">
      <c r="A14" s="2" t="s">
        <v>53</v>
      </c>
      <c r="B14" s="2"/>
      <c r="C14" s="2"/>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4">
        <f t="shared" si="0"/>
        <v>0</v>
      </c>
      <c r="AI14" s="5">
        <f t="shared" si="1"/>
        <v>0</v>
      </c>
    </row>
    <row r="15" spans="1:36" ht="22" customHeight="1" x14ac:dyDescent="0.35">
      <c r="A15" s="6" t="s">
        <v>54</v>
      </c>
      <c r="B15" s="6"/>
      <c r="C15" s="6"/>
      <c r="D15" s="7"/>
      <c r="E15" s="7"/>
      <c r="F15" s="7"/>
      <c r="G15" s="7"/>
      <c r="H15" s="8"/>
      <c r="I15" s="7"/>
      <c r="J15" s="8"/>
      <c r="K15" s="7"/>
      <c r="L15" s="7"/>
      <c r="M15" s="8"/>
      <c r="N15" s="7"/>
      <c r="O15" s="7"/>
      <c r="P15" s="7"/>
      <c r="Q15" s="8"/>
      <c r="R15" s="8"/>
      <c r="S15" s="7"/>
      <c r="T15" s="7"/>
      <c r="U15" s="7"/>
      <c r="V15" s="7"/>
      <c r="W15" s="8"/>
      <c r="X15" s="8"/>
      <c r="Y15" s="7"/>
      <c r="Z15" s="7"/>
      <c r="AA15" s="7"/>
      <c r="AB15" s="8"/>
      <c r="AC15" s="7"/>
      <c r="AD15" s="7"/>
      <c r="AE15" s="8"/>
      <c r="AF15" s="7"/>
      <c r="AG15" s="8"/>
      <c r="AH15" s="8">
        <f t="shared" si="0"/>
        <v>0</v>
      </c>
      <c r="AI15" s="5">
        <f t="shared" si="1"/>
        <v>0</v>
      </c>
    </row>
  </sheetData>
  <mergeCells count="1">
    <mergeCell ref="A1:AJ1"/>
  </mergeCell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1"/>
  <sheetViews>
    <sheetView rightToLeft="1" workbookViewId="0">
      <selection activeCell="K9" sqref="K9"/>
    </sheetView>
  </sheetViews>
  <sheetFormatPr defaultRowHeight="14.5" x14ac:dyDescent="0.35"/>
  <cols>
    <col min="1" max="1" width="12" customWidth="1"/>
    <col min="2" max="2" width="22" customWidth="1"/>
    <col min="3" max="3" width="24" customWidth="1"/>
    <col min="4" max="33" width="6.453125" customWidth="1"/>
    <col min="34" max="34" width="18" customWidth="1"/>
    <col min="35" max="35" width="22" customWidth="1"/>
  </cols>
  <sheetData>
    <row r="1" spans="1:36" ht="18" x14ac:dyDescent="0.35">
      <c r="A1" s="25" t="s">
        <v>55</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row>
    <row r="3" spans="1:36" ht="28" customHeight="1" x14ac:dyDescent="0.35">
      <c r="A3" s="1" t="s">
        <v>1</v>
      </c>
      <c r="B3" s="1" t="s">
        <v>2</v>
      </c>
      <c r="C3" s="1" t="s">
        <v>3</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row>
    <row r="4" spans="1:36" ht="22" customHeight="1" x14ac:dyDescent="0.35">
      <c r="A4" s="2" t="s">
        <v>56</v>
      </c>
      <c r="B4" s="2"/>
      <c r="C4" s="2"/>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4">
        <f t="shared" ref="AH4:AH11" si="0">SUM(D4:AG4)</f>
        <v>0</v>
      </c>
      <c r="AI4" s="5">
        <f t="shared" ref="AI4:AI11" si="1">ROUND((AH4/150)*100, 0)</f>
        <v>0</v>
      </c>
    </row>
    <row r="5" spans="1:36" ht="22" customHeight="1" x14ac:dyDescent="0.35">
      <c r="A5" s="6" t="s">
        <v>57</v>
      </c>
      <c r="B5" s="6"/>
      <c r="C5" s="6"/>
      <c r="D5" s="7"/>
      <c r="E5" s="7"/>
      <c r="F5" s="7"/>
      <c r="G5" s="7"/>
      <c r="H5" s="8"/>
      <c r="I5" s="7"/>
      <c r="J5" s="7"/>
      <c r="K5" s="7"/>
      <c r="L5" s="7"/>
      <c r="M5" s="8"/>
      <c r="N5" s="7"/>
      <c r="O5" s="7"/>
      <c r="P5" s="7"/>
      <c r="Q5" s="7"/>
      <c r="R5" s="8"/>
      <c r="S5" s="7"/>
      <c r="T5" s="7"/>
      <c r="U5" s="7"/>
      <c r="V5" s="7"/>
      <c r="W5" s="8"/>
      <c r="X5" s="7"/>
      <c r="Y5" s="7"/>
      <c r="Z5" s="7"/>
      <c r="AA5" s="7"/>
      <c r="AB5" s="8"/>
      <c r="AC5" s="7"/>
      <c r="AD5" s="7"/>
      <c r="AE5" s="7"/>
      <c r="AF5" s="7"/>
      <c r="AG5" s="8"/>
      <c r="AH5" s="8">
        <f t="shared" si="0"/>
        <v>0</v>
      </c>
      <c r="AI5" s="5">
        <f t="shared" si="1"/>
        <v>0</v>
      </c>
    </row>
    <row r="6" spans="1:36" ht="22" customHeight="1" x14ac:dyDescent="0.35">
      <c r="A6" s="2" t="s">
        <v>58</v>
      </c>
      <c r="B6" s="2"/>
      <c r="C6" s="2"/>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4">
        <f t="shared" si="0"/>
        <v>0</v>
      </c>
      <c r="AI6" s="5">
        <f t="shared" si="1"/>
        <v>0</v>
      </c>
    </row>
    <row r="7" spans="1:36" ht="22" customHeight="1" x14ac:dyDescent="0.35">
      <c r="A7" s="6" t="s">
        <v>59</v>
      </c>
      <c r="B7" s="6"/>
      <c r="C7" s="6"/>
      <c r="D7" s="7"/>
      <c r="E7" s="7"/>
      <c r="F7" s="7"/>
      <c r="G7" s="7"/>
      <c r="H7" s="8"/>
      <c r="I7" s="7"/>
      <c r="J7" s="8"/>
      <c r="K7" s="7"/>
      <c r="L7" s="7"/>
      <c r="M7" s="9"/>
      <c r="N7" s="7"/>
      <c r="O7" s="7"/>
      <c r="P7" s="7"/>
      <c r="Q7" s="8"/>
      <c r="R7" s="8"/>
      <c r="S7" s="7"/>
      <c r="T7" s="7"/>
      <c r="U7" s="7"/>
      <c r="V7" s="7"/>
      <c r="W7" s="9"/>
      <c r="X7" s="8"/>
      <c r="Y7" s="7"/>
      <c r="Z7" s="7"/>
      <c r="AA7" s="7"/>
      <c r="AB7" s="8"/>
      <c r="AC7" s="7"/>
      <c r="AD7" s="7"/>
      <c r="AE7" s="8"/>
      <c r="AF7" s="7"/>
      <c r="AG7" s="8"/>
      <c r="AH7" s="8">
        <f t="shared" si="0"/>
        <v>0</v>
      </c>
      <c r="AI7" s="5">
        <f t="shared" si="1"/>
        <v>0</v>
      </c>
    </row>
    <row r="8" spans="1:36" ht="22" customHeight="1" x14ac:dyDescent="0.35">
      <c r="A8" s="2" t="s">
        <v>60</v>
      </c>
      <c r="B8" s="2"/>
      <c r="C8" s="2"/>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4">
        <f t="shared" si="0"/>
        <v>0</v>
      </c>
      <c r="AI8" s="5">
        <f t="shared" si="1"/>
        <v>0</v>
      </c>
    </row>
    <row r="9" spans="1:36" ht="22" customHeight="1" x14ac:dyDescent="0.35">
      <c r="A9" s="6" t="s">
        <v>61</v>
      </c>
      <c r="B9" s="6"/>
      <c r="C9" s="6"/>
      <c r="D9" s="7"/>
      <c r="E9" s="7"/>
      <c r="F9" s="7"/>
      <c r="G9" s="7"/>
      <c r="H9" s="8"/>
      <c r="I9" s="7"/>
      <c r="J9" s="7"/>
      <c r="K9" s="7"/>
      <c r="L9" s="7"/>
      <c r="M9" s="8"/>
      <c r="N9" s="7"/>
      <c r="O9" s="7"/>
      <c r="P9" s="7"/>
      <c r="Q9" s="7"/>
      <c r="R9" s="8"/>
      <c r="S9" s="7"/>
      <c r="T9" s="7"/>
      <c r="U9" s="7"/>
      <c r="V9" s="7"/>
      <c r="W9" s="8"/>
      <c r="X9" s="7"/>
      <c r="Y9" s="7"/>
      <c r="Z9" s="7"/>
      <c r="AA9" s="7"/>
      <c r="AB9" s="8"/>
      <c r="AC9" s="7"/>
      <c r="AD9" s="7"/>
      <c r="AE9" s="7"/>
      <c r="AF9" s="7"/>
      <c r="AG9" s="8"/>
      <c r="AH9" s="8">
        <f t="shared" si="0"/>
        <v>0</v>
      </c>
      <c r="AI9" s="5">
        <f t="shared" si="1"/>
        <v>0</v>
      </c>
    </row>
    <row r="10" spans="1:36" ht="22" customHeight="1" x14ac:dyDescent="0.35">
      <c r="A10" s="2" t="s">
        <v>62</v>
      </c>
      <c r="B10" s="2"/>
      <c r="C10" s="2"/>
      <c r="D10" s="3"/>
      <c r="E10" s="3"/>
      <c r="F10" s="3"/>
      <c r="G10" s="3"/>
      <c r="H10" s="3"/>
      <c r="I10" s="3"/>
      <c r="J10" s="3"/>
      <c r="K10" s="3"/>
      <c r="L10" s="3"/>
      <c r="M10" s="9"/>
      <c r="N10" s="3"/>
      <c r="O10" s="3"/>
      <c r="P10" s="3"/>
      <c r="Q10" s="3"/>
      <c r="R10" s="3"/>
      <c r="S10" s="3"/>
      <c r="T10" s="3"/>
      <c r="U10" s="3"/>
      <c r="V10" s="3"/>
      <c r="W10" s="3"/>
      <c r="X10" s="3"/>
      <c r="Y10" s="3"/>
      <c r="Z10" s="3"/>
      <c r="AA10" s="3"/>
      <c r="AB10" s="3"/>
      <c r="AC10" s="3"/>
      <c r="AD10" s="3"/>
      <c r="AE10" s="3"/>
      <c r="AF10" s="3"/>
      <c r="AG10" s="3"/>
      <c r="AH10" s="4">
        <f t="shared" si="0"/>
        <v>0</v>
      </c>
      <c r="AI10" s="5">
        <f t="shared" si="1"/>
        <v>0</v>
      </c>
    </row>
    <row r="11" spans="1:36" ht="22" customHeight="1" x14ac:dyDescent="0.35">
      <c r="A11" s="6" t="s">
        <v>63</v>
      </c>
      <c r="B11" s="6"/>
      <c r="C11" s="6"/>
      <c r="D11" s="7"/>
      <c r="E11" s="7"/>
      <c r="F11" s="7"/>
      <c r="G11" s="7"/>
      <c r="H11" s="8"/>
      <c r="I11" s="7"/>
      <c r="J11" s="7"/>
      <c r="K11" s="7"/>
      <c r="L11" s="7"/>
      <c r="M11" s="8"/>
      <c r="N11" s="7"/>
      <c r="O11" s="7"/>
      <c r="P11" s="7"/>
      <c r="Q11" s="7"/>
      <c r="R11" s="8"/>
      <c r="S11" s="7"/>
      <c r="T11" s="7"/>
      <c r="U11" s="7"/>
      <c r="V11" s="7"/>
      <c r="W11" s="8"/>
      <c r="X11" s="7"/>
      <c r="Y11" s="7"/>
      <c r="Z11" s="7"/>
      <c r="AA11" s="7"/>
      <c r="AB11" s="8"/>
      <c r="AC11" s="7"/>
      <c r="AD11" s="7"/>
      <c r="AE11" s="7"/>
      <c r="AF11" s="7"/>
      <c r="AG11" s="8"/>
      <c r="AH11" s="8">
        <f t="shared" si="0"/>
        <v>0</v>
      </c>
      <c r="AI11" s="5">
        <f t="shared" si="1"/>
        <v>0</v>
      </c>
    </row>
  </sheetData>
  <mergeCells count="1">
    <mergeCell ref="A1:AJ1"/>
  </mergeCells>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
  <sheetViews>
    <sheetView rightToLeft="1" workbookViewId="0">
      <selection activeCell="B4" sqref="B4:AG7"/>
    </sheetView>
  </sheetViews>
  <sheetFormatPr defaultRowHeight="14.5" x14ac:dyDescent="0.35"/>
  <cols>
    <col min="1" max="1" width="12" customWidth="1"/>
    <col min="2" max="2" width="22" customWidth="1"/>
    <col min="3" max="3" width="24" customWidth="1"/>
    <col min="4" max="33" width="6.453125" customWidth="1"/>
    <col min="34" max="34" width="18" customWidth="1"/>
    <col min="35" max="35" width="22" customWidth="1"/>
  </cols>
  <sheetData>
    <row r="1" spans="1:36" ht="18" x14ac:dyDescent="0.35">
      <c r="A1" s="25" t="s">
        <v>64</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row>
    <row r="3" spans="1:36" ht="28" customHeight="1" x14ac:dyDescent="0.35">
      <c r="A3" s="1" t="s">
        <v>1</v>
      </c>
      <c r="B3" s="1" t="s">
        <v>2</v>
      </c>
      <c r="C3" s="1" t="s">
        <v>3</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row>
    <row r="4" spans="1:36" ht="22" customHeight="1" x14ac:dyDescent="0.35">
      <c r="A4" s="2" t="s">
        <v>65</v>
      </c>
      <c r="B4" s="2"/>
      <c r="C4" s="2"/>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4">
        <f>SUM(D4:AG4)</f>
        <v>0</v>
      </c>
      <c r="AI4" s="5">
        <f>ROUND((AH4/150)*100, 0)</f>
        <v>0</v>
      </c>
    </row>
    <row r="5" spans="1:36" ht="22" customHeight="1" x14ac:dyDescent="0.35">
      <c r="A5" s="6" t="s">
        <v>66</v>
      </c>
      <c r="B5" s="6"/>
      <c r="C5" s="6"/>
      <c r="D5" s="7"/>
      <c r="E5" s="7"/>
      <c r="F5" s="7"/>
      <c r="G5" s="7"/>
      <c r="H5" s="8"/>
      <c r="I5" s="7"/>
      <c r="J5" s="7"/>
      <c r="K5" s="7"/>
      <c r="L5" s="7"/>
      <c r="M5" s="8"/>
      <c r="N5" s="7"/>
      <c r="O5" s="7"/>
      <c r="P5" s="7"/>
      <c r="Q5" s="7"/>
      <c r="R5" s="8"/>
      <c r="S5" s="7"/>
      <c r="T5" s="7"/>
      <c r="U5" s="7"/>
      <c r="V5" s="7"/>
      <c r="W5" s="8"/>
      <c r="X5" s="7"/>
      <c r="Y5" s="7"/>
      <c r="Z5" s="7"/>
      <c r="AA5" s="7"/>
      <c r="AB5" s="8"/>
      <c r="AC5" s="7"/>
      <c r="AD5" s="7"/>
      <c r="AE5" s="7"/>
      <c r="AF5" s="7"/>
      <c r="AG5" s="8"/>
      <c r="AH5" s="8">
        <f>SUM(D5:AG5)</f>
        <v>0</v>
      </c>
      <c r="AI5" s="5">
        <f>ROUND((AH5/150)*100, 0)</f>
        <v>0</v>
      </c>
    </row>
    <row r="6" spans="1:36" ht="22" customHeight="1" x14ac:dyDescent="0.35">
      <c r="A6" s="2" t="s">
        <v>67</v>
      </c>
      <c r="B6" s="2"/>
      <c r="C6" s="2"/>
      <c r="D6" s="3"/>
      <c r="E6" s="3"/>
      <c r="F6" s="3"/>
      <c r="G6" s="3"/>
      <c r="H6" s="3"/>
      <c r="I6" s="3"/>
      <c r="J6" s="3"/>
      <c r="K6" s="3"/>
      <c r="L6" s="3"/>
      <c r="M6" s="9"/>
      <c r="N6" s="3"/>
      <c r="O6" s="3"/>
      <c r="P6" s="3"/>
      <c r="Q6" s="3"/>
      <c r="R6" s="3"/>
      <c r="S6" s="3"/>
      <c r="T6" s="3"/>
      <c r="U6" s="3"/>
      <c r="V6" s="3"/>
      <c r="W6" s="3"/>
      <c r="X6" s="3"/>
      <c r="Y6" s="3"/>
      <c r="Z6" s="3"/>
      <c r="AA6" s="3"/>
      <c r="AB6" s="3"/>
      <c r="AC6" s="3"/>
      <c r="AD6" s="3"/>
      <c r="AE6" s="3"/>
      <c r="AF6" s="3"/>
      <c r="AG6" s="3"/>
      <c r="AH6" s="4">
        <f>SUM(D6:AG6)</f>
        <v>0</v>
      </c>
      <c r="AI6" s="5">
        <f>ROUND((AH6/150)*100, 0)</f>
        <v>0</v>
      </c>
    </row>
    <row r="7" spans="1:36" ht="22" customHeight="1" x14ac:dyDescent="0.35">
      <c r="A7" s="6" t="s">
        <v>68</v>
      </c>
      <c r="B7" s="6"/>
      <c r="C7" s="6"/>
      <c r="D7" s="7"/>
      <c r="E7" s="7"/>
      <c r="F7" s="7"/>
      <c r="G7" s="7"/>
      <c r="H7" s="8"/>
      <c r="I7" s="7"/>
      <c r="J7" s="7"/>
      <c r="K7" s="7"/>
      <c r="L7" s="7"/>
      <c r="M7" s="8"/>
      <c r="N7" s="7"/>
      <c r="O7" s="7"/>
      <c r="P7" s="7"/>
      <c r="Q7" s="7"/>
      <c r="R7" s="8"/>
      <c r="S7" s="7"/>
      <c r="T7" s="7"/>
      <c r="U7" s="7"/>
      <c r="V7" s="7"/>
      <c r="W7" s="8"/>
      <c r="X7" s="7"/>
      <c r="Y7" s="7"/>
      <c r="Z7" s="7"/>
      <c r="AA7" s="7"/>
      <c r="AB7" s="8"/>
      <c r="AC7" s="7"/>
      <c r="AD7" s="7"/>
      <c r="AE7" s="7"/>
      <c r="AF7" s="7"/>
      <c r="AG7" s="8"/>
      <c r="AH7" s="8">
        <f>SUM(D7:AG7)</f>
        <v>0</v>
      </c>
      <c r="AI7" s="5">
        <f>ROUND((AH7/150)*100, 0)</f>
        <v>0</v>
      </c>
    </row>
  </sheetData>
  <mergeCells count="1">
    <mergeCell ref="A1:AJ1"/>
  </mergeCells>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34"/>
  <sheetViews>
    <sheetView rightToLeft="1" tabSelected="1" workbookViewId="0">
      <selection activeCell="B4" sqref="B4"/>
    </sheetView>
  </sheetViews>
  <sheetFormatPr defaultRowHeight="14.5" x14ac:dyDescent="0.35"/>
  <cols>
    <col min="1" max="1" width="12" customWidth="1"/>
    <col min="2" max="2" width="22" customWidth="1"/>
    <col min="3" max="3" width="24" customWidth="1"/>
    <col min="4" max="6" width="16" customWidth="1"/>
    <col min="7" max="8" width="14" customWidth="1"/>
    <col min="9" max="9" width="16" customWidth="1"/>
    <col min="10" max="10" width="12" customWidth="1"/>
    <col min="11" max="11" width="14" customWidth="1"/>
    <col min="12" max="12" width="12" customWidth="1"/>
    <col min="13" max="14" width="14" customWidth="1"/>
    <col min="15" max="15" width="16" customWidth="1"/>
    <col min="16" max="16" width="18" customWidth="1"/>
    <col min="17" max="17" width="20" customWidth="1"/>
  </cols>
  <sheetData>
    <row r="1" spans="1:17" ht="20" x14ac:dyDescent="0.35">
      <c r="A1" s="26" t="s">
        <v>69</v>
      </c>
      <c r="B1" s="26"/>
      <c r="C1" s="26"/>
      <c r="D1" s="26"/>
      <c r="E1" s="26"/>
      <c r="F1" s="26"/>
      <c r="G1" s="26"/>
      <c r="H1" s="26"/>
      <c r="I1" s="26"/>
      <c r="J1" s="26"/>
      <c r="K1" s="26"/>
      <c r="L1" s="26"/>
      <c r="M1" s="26"/>
      <c r="N1" s="26"/>
      <c r="O1" s="26"/>
      <c r="P1" s="26"/>
      <c r="Q1" s="26"/>
    </row>
    <row r="3" spans="1:17" ht="30" customHeight="1" x14ac:dyDescent="0.35">
      <c r="A3" s="10" t="s">
        <v>1</v>
      </c>
      <c r="B3" s="10" t="s">
        <v>2</v>
      </c>
      <c r="C3" s="10" t="s">
        <v>70</v>
      </c>
      <c r="D3" s="10" t="s">
        <v>71</v>
      </c>
      <c r="E3" s="10" t="s">
        <v>72</v>
      </c>
      <c r="F3" s="10" t="s">
        <v>73</v>
      </c>
      <c r="G3" s="10" t="s">
        <v>74</v>
      </c>
      <c r="H3" s="10" t="s">
        <v>75</v>
      </c>
      <c r="I3" s="10" t="s">
        <v>76</v>
      </c>
      <c r="J3" s="10" t="s">
        <v>77</v>
      </c>
      <c r="K3" s="10" t="s">
        <v>78</v>
      </c>
      <c r="L3" s="10" t="s">
        <v>79</v>
      </c>
      <c r="M3" s="10" t="s">
        <v>80</v>
      </c>
      <c r="N3" s="10" t="s">
        <v>81</v>
      </c>
      <c r="O3" s="10" t="s">
        <v>82</v>
      </c>
      <c r="P3" s="10" t="s">
        <v>83</v>
      </c>
      <c r="Q3" s="10" t="s">
        <v>84</v>
      </c>
    </row>
    <row r="4" spans="1:17" ht="23" customHeight="1" x14ac:dyDescent="0.35">
      <c r="A4" s="11" t="s">
        <v>36</v>
      </c>
      <c r="B4" s="11"/>
      <c r="C4" s="11"/>
      <c r="D4" s="12"/>
      <c r="E4" s="12">
        <f t="shared" ref="E4:E33" si="0">D4*0.75</f>
        <v>0</v>
      </c>
      <c r="F4" s="12">
        <f t="shared" ref="F4:F33" si="1">D4*0.25</f>
        <v>0</v>
      </c>
      <c r="G4" s="13">
        <f>'تقييم يومي - الاستقبال'!AI4</f>
        <v>0</v>
      </c>
      <c r="H4" s="14">
        <f t="shared" ref="H4:H33" si="2">IF(G4&gt;=90,1,IF(G4&gt;=80,0.75,IF(G4&gt;=70,0.5,0)))</f>
        <v>0</v>
      </c>
      <c r="I4" s="12">
        <f t="shared" ref="I4:I33" si="3">F4*H4</f>
        <v>0</v>
      </c>
      <c r="J4" s="15">
        <v>0</v>
      </c>
      <c r="K4" s="12">
        <f t="shared" ref="K4:K33" si="4">ROUND((E4/30)*J4, 2)</f>
        <v>0</v>
      </c>
      <c r="L4" s="15"/>
      <c r="M4" s="12">
        <f t="shared" ref="M4:M33" si="5">ROUND((E4/30)*L4, 2)</f>
        <v>0</v>
      </c>
      <c r="N4" s="12"/>
      <c r="O4" s="12">
        <f t="shared" ref="O4:O33" si="6">K4+M4+N4</f>
        <v>0</v>
      </c>
      <c r="P4" s="16">
        <f t="shared" ref="P4:P33" si="7">E4+I4-O4</f>
        <v>0</v>
      </c>
      <c r="Q4" s="15" t="s">
        <v>85</v>
      </c>
    </row>
    <row r="5" spans="1:17" ht="23" customHeight="1" x14ac:dyDescent="0.35">
      <c r="A5" s="17" t="s">
        <v>37</v>
      </c>
      <c r="B5" s="17"/>
      <c r="C5" s="17"/>
      <c r="D5" s="18"/>
      <c r="E5" s="18">
        <f t="shared" si="0"/>
        <v>0</v>
      </c>
      <c r="F5" s="18">
        <f t="shared" si="1"/>
        <v>0</v>
      </c>
      <c r="G5" s="13">
        <f>'تقييم يومي - الاستقبال'!AI5</f>
        <v>0</v>
      </c>
      <c r="H5" s="19">
        <f t="shared" si="2"/>
        <v>0</v>
      </c>
      <c r="I5" s="18">
        <f t="shared" si="3"/>
        <v>0</v>
      </c>
      <c r="J5" s="20">
        <v>1</v>
      </c>
      <c r="K5" s="18">
        <f t="shared" si="4"/>
        <v>0</v>
      </c>
      <c r="L5" s="20"/>
      <c r="M5" s="18">
        <f t="shared" si="5"/>
        <v>0</v>
      </c>
      <c r="N5" s="18"/>
      <c r="O5" s="18">
        <f t="shared" si="6"/>
        <v>0</v>
      </c>
      <c r="P5" s="16">
        <f t="shared" si="7"/>
        <v>0</v>
      </c>
      <c r="Q5" s="20" t="s">
        <v>85</v>
      </c>
    </row>
    <row r="6" spans="1:17" ht="23" customHeight="1" x14ac:dyDescent="0.35">
      <c r="A6" s="11" t="s">
        <v>38</v>
      </c>
      <c r="B6" s="11"/>
      <c r="C6" s="11"/>
      <c r="D6" s="12"/>
      <c r="E6" s="12">
        <f t="shared" si="0"/>
        <v>0</v>
      </c>
      <c r="F6" s="12">
        <f t="shared" si="1"/>
        <v>0</v>
      </c>
      <c r="G6" s="13">
        <f>'تقييم يومي - الاستقبال'!AI6</f>
        <v>0</v>
      </c>
      <c r="H6" s="14">
        <f t="shared" si="2"/>
        <v>0</v>
      </c>
      <c r="I6" s="12">
        <f t="shared" si="3"/>
        <v>0</v>
      </c>
      <c r="J6" s="15">
        <v>0</v>
      </c>
      <c r="K6" s="12">
        <f t="shared" si="4"/>
        <v>0</v>
      </c>
      <c r="L6" s="15"/>
      <c r="M6" s="12">
        <f t="shared" si="5"/>
        <v>0</v>
      </c>
      <c r="N6" s="12"/>
      <c r="O6" s="12">
        <f t="shared" si="6"/>
        <v>0</v>
      </c>
      <c r="P6" s="16">
        <f t="shared" si="7"/>
        <v>0</v>
      </c>
      <c r="Q6" s="15" t="s">
        <v>85</v>
      </c>
    </row>
    <row r="7" spans="1:17" ht="23" customHeight="1" x14ac:dyDescent="0.35">
      <c r="A7" s="17" t="s">
        <v>39</v>
      </c>
      <c r="B7" s="17"/>
      <c r="C7" s="17"/>
      <c r="D7" s="18"/>
      <c r="E7" s="18">
        <f t="shared" si="0"/>
        <v>0</v>
      </c>
      <c r="F7" s="18">
        <f t="shared" si="1"/>
        <v>0</v>
      </c>
      <c r="G7" s="13">
        <f>'تقييم يومي - الاستقبال'!AI7</f>
        <v>0</v>
      </c>
      <c r="H7" s="19">
        <f t="shared" si="2"/>
        <v>0</v>
      </c>
      <c r="I7" s="18">
        <f t="shared" si="3"/>
        <v>0</v>
      </c>
      <c r="J7" s="20">
        <v>0</v>
      </c>
      <c r="K7" s="18">
        <f t="shared" si="4"/>
        <v>0</v>
      </c>
      <c r="L7" s="20"/>
      <c r="M7" s="18">
        <f t="shared" si="5"/>
        <v>0</v>
      </c>
      <c r="N7" s="18"/>
      <c r="O7" s="18">
        <f t="shared" si="6"/>
        <v>0</v>
      </c>
      <c r="P7" s="16">
        <f t="shared" si="7"/>
        <v>0</v>
      </c>
      <c r="Q7" s="20" t="s">
        <v>85</v>
      </c>
    </row>
    <row r="8" spans="1:17" ht="23" customHeight="1" x14ac:dyDescent="0.35">
      <c r="A8" s="11" t="s">
        <v>40</v>
      </c>
      <c r="B8" s="11"/>
      <c r="C8" s="11"/>
      <c r="D8" s="12"/>
      <c r="E8" s="12">
        <f t="shared" si="0"/>
        <v>0</v>
      </c>
      <c r="F8" s="12">
        <f t="shared" si="1"/>
        <v>0</v>
      </c>
      <c r="G8" s="13">
        <f>'تقييم يومي - الاستقبال'!AI8</f>
        <v>0</v>
      </c>
      <c r="H8" s="14">
        <f t="shared" si="2"/>
        <v>0</v>
      </c>
      <c r="I8" s="12">
        <f t="shared" si="3"/>
        <v>0</v>
      </c>
      <c r="J8" s="15">
        <v>0</v>
      </c>
      <c r="K8" s="12">
        <f t="shared" si="4"/>
        <v>0</v>
      </c>
      <c r="L8" s="15"/>
      <c r="M8" s="12">
        <f t="shared" si="5"/>
        <v>0</v>
      </c>
      <c r="N8" s="12"/>
      <c r="O8" s="12">
        <f t="shared" si="6"/>
        <v>0</v>
      </c>
      <c r="P8" s="16">
        <f t="shared" si="7"/>
        <v>0</v>
      </c>
      <c r="Q8" s="15" t="s">
        <v>85</v>
      </c>
    </row>
    <row r="9" spans="1:17" ht="23" customHeight="1" x14ac:dyDescent="0.35">
      <c r="A9" s="17" t="s">
        <v>41</v>
      </c>
      <c r="B9" s="17"/>
      <c r="C9" s="17"/>
      <c r="D9" s="18"/>
      <c r="E9" s="18">
        <f t="shared" si="0"/>
        <v>0</v>
      </c>
      <c r="F9" s="18">
        <f t="shared" si="1"/>
        <v>0</v>
      </c>
      <c r="G9" s="13">
        <f>'تقييم يومي - الاستقبال'!AI9</f>
        <v>0</v>
      </c>
      <c r="H9" s="19">
        <f t="shared" si="2"/>
        <v>0</v>
      </c>
      <c r="I9" s="18">
        <f t="shared" si="3"/>
        <v>0</v>
      </c>
      <c r="J9" s="20">
        <v>1</v>
      </c>
      <c r="K9" s="18">
        <f t="shared" si="4"/>
        <v>0</v>
      </c>
      <c r="L9" s="20"/>
      <c r="M9" s="18">
        <f t="shared" si="5"/>
        <v>0</v>
      </c>
      <c r="N9" s="18"/>
      <c r="O9" s="18">
        <f t="shared" si="6"/>
        <v>0</v>
      </c>
      <c r="P9" s="16">
        <f t="shared" si="7"/>
        <v>0</v>
      </c>
      <c r="Q9" s="20" t="s">
        <v>85</v>
      </c>
    </row>
    <row r="10" spans="1:17" ht="23" customHeight="1" x14ac:dyDescent="0.35">
      <c r="A10" s="11" t="s">
        <v>43</v>
      </c>
      <c r="B10" s="11"/>
      <c r="C10" s="11"/>
      <c r="D10" s="12"/>
      <c r="E10" s="12">
        <f t="shared" si="0"/>
        <v>0</v>
      </c>
      <c r="F10" s="12">
        <f t="shared" si="1"/>
        <v>0</v>
      </c>
      <c r="G10" s="13">
        <f>'تقييم يومي - الإشراف والغرف'!AI4</f>
        <v>0</v>
      </c>
      <c r="H10" s="14">
        <f t="shared" si="2"/>
        <v>0</v>
      </c>
      <c r="I10" s="12">
        <f t="shared" si="3"/>
        <v>0</v>
      </c>
      <c r="J10" s="15">
        <v>0</v>
      </c>
      <c r="K10" s="12">
        <f t="shared" si="4"/>
        <v>0</v>
      </c>
      <c r="L10" s="15"/>
      <c r="M10" s="12">
        <f t="shared" si="5"/>
        <v>0</v>
      </c>
      <c r="N10" s="12"/>
      <c r="O10" s="12">
        <f t="shared" si="6"/>
        <v>0</v>
      </c>
      <c r="P10" s="16">
        <f t="shared" si="7"/>
        <v>0</v>
      </c>
      <c r="Q10" s="15" t="s">
        <v>85</v>
      </c>
    </row>
    <row r="11" spans="1:17" ht="23" customHeight="1" x14ac:dyDescent="0.35">
      <c r="A11" s="17" t="s">
        <v>44</v>
      </c>
      <c r="B11" s="17"/>
      <c r="C11" s="17"/>
      <c r="D11" s="18"/>
      <c r="E11" s="18">
        <f t="shared" si="0"/>
        <v>0</v>
      </c>
      <c r="F11" s="18">
        <f t="shared" si="1"/>
        <v>0</v>
      </c>
      <c r="G11" s="13">
        <f>'تقييم يومي - الإشراف والغرف'!AI5</f>
        <v>0</v>
      </c>
      <c r="H11" s="19">
        <f t="shared" si="2"/>
        <v>0</v>
      </c>
      <c r="I11" s="18">
        <f t="shared" si="3"/>
        <v>0</v>
      </c>
      <c r="J11" s="20">
        <v>1</v>
      </c>
      <c r="K11" s="18">
        <f t="shared" si="4"/>
        <v>0</v>
      </c>
      <c r="L11" s="20"/>
      <c r="M11" s="18">
        <f t="shared" si="5"/>
        <v>0</v>
      </c>
      <c r="N11" s="18"/>
      <c r="O11" s="18">
        <f t="shared" si="6"/>
        <v>0</v>
      </c>
      <c r="P11" s="16">
        <f t="shared" si="7"/>
        <v>0</v>
      </c>
      <c r="Q11" s="20" t="s">
        <v>85</v>
      </c>
    </row>
    <row r="12" spans="1:17" ht="23" customHeight="1" x14ac:dyDescent="0.35">
      <c r="A12" s="11" t="s">
        <v>45</v>
      </c>
      <c r="B12" s="11"/>
      <c r="C12" s="11"/>
      <c r="D12" s="12"/>
      <c r="E12" s="12">
        <f t="shared" si="0"/>
        <v>0</v>
      </c>
      <c r="F12" s="12">
        <f t="shared" si="1"/>
        <v>0</v>
      </c>
      <c r="G12" s="13">
        <f>'تقييم يومي - الإشراف والغرف'!AI6</f>
        <v>0</v>
      </c>
      <c r="H12" s="14">
        <f t="shared" si="2"/>
        <v>0</v>
      </c>
      <c r="I12" s="12">
        <f t="shared" si="3"/>
        <v>0</v>
      </c>
      <c r="J12" s="15">
        <v>2</v>
      </c>
      <c r="K12" s="12">
        <f t="shared" si="4"/>
        <v>0</v>
      </c>
      <c r="L12" s="15"/>
      <c r="M12" s="12">
        <f t="shared" si="5"/>
        <v>0</v>
      </c>
      <c r="N12" s="12"/>
      <c r="O12" s="12">
        <f t="shared" si="6"/>
        <v>0</v>
      </c>
      <c r="P12" s="16">
        <f t="shared" si="7"/>
        <v>0</v>
      </c>
      <c r="Q12" s="15" t="s">
        <v>85</v>
      </c>
    </row>
    <row r="13" spans="1:17" ht="23" customHeight="1" x14ac:dyDescent="0.35">
      <c r="A13" s="17" t="s">
        <v>46</v>
      </c>
      <c r="B13" s="17"/>
      <c r="C13" s="17"/>
      <c r="D13" s="18"/>
      <c r="E13" s="18">
        <f t="shared" si="0"/>
        <v>0</v>
      </c>
      <c r="F13" s="18">
        <f t="shared" si="1"/>
        <v>0</v>
      </c>
      <c r="G13" s="13">
        <f>'تقييم يومي - الإشراف والغرف'!AI7</f>
        <v>0</v>
      </c>
      <c r="H13" s="19">
        <f t="shared" si="2"/>
        <v>0</v>
      </c>
      <c r="I13" s="18">
        <f t="shared" si="3"/>
        <v>0</v>
      </c>
      <c r="J13" s="20">
        <v>0</v>
      </c>
      <c r="K13" s="18">
        <f t="shared" si="4"/>
        <v>0</v>
      </c>
      <c r="L13" s="20"/>
      <c r="M13" s="18">
        <f t="shared" si="5"/>
        <v>0</v>
      </c>
      <c r="N13" s="18"/>
      <c r="O13" s="18">
        <f t="shared" si="6"/>
        <v>0</v>
      </c>
      <c r="P13" s="16">
        <f t="shared" si="7"/>
        <v>0</v>
      </c>
      <c r="Q13" s="20" t="s">
        <v>85</v>
      </c>
    </row>
    <row r="14" spans="1:17" ht="23" customHeight="1" x14ac:dyDescent="0.35">
      <c r="A14" s="11" t="s">
        <v>47</v>
      </c>
      <c r="B14" s="11"/>
      <c r="C14" s="11"/>
      <c r="D14" s="12"/>
      <c r="E14" s="12">
        <f t="shared" si="0"/>
        <v>0</v>
      </c>
      <c r="F14" s="12">
        <f t="shared" si="1"/>
        <v>0</v>
      </c>
      <c r="G14" s="13">
        <f>'تقييم يومي - الإشراف والغرف'!AI8</f>
        <v>0</v>
      </c>
      <c r="H14" s="14">
        <f t="shared" si="2"/>
        <v>0</v>
      </c>
      <c r="I14" s="12">
        <f t="shared" si="3"/>
        <v>0</v>
      </c>
      <c r="J14" s="15">
        <v>0</v>
      </c>
      <c r="K14" s="12">
        <f t="shared" si="4"/>
        <v>0</v>
      </c>
      <c r="L14" s="15"/>
      <c r="M14" s="12">
        <f t="shared" si="5"/>
        <v>0</v>
      </c>
      <c r="N14" s="12"/>
      <c r="O14" s="12">
        <f t="shared" si="6"/>
        <v>0</v>
      </c>
      <c r="P14" s="16">
        <f t="shared" si="7"/>
        <v>0</v>
      </c>
      <c r="Q14" s="15" t="s">
        <v>85</v>
      </c>
    </row>
    <row r="15" spans="1:17" ht="23" customHeight="1" x14ac:dyDescent="0.35">
      <c r="A15" s="17" t="s">
        <v>48</v>
      </c>
      <c r="B15" s="17"/>
      <c r="C15" s="17"/>
      <c r="D15" s="18"/>
      <c r="E15" s="18">
        <f t="shared" si="0"/>
        <v>0</v>
      </c>
      <c r="F15" s="18">
        <f t="shared" si="1"/>
        <v>0</v>
      </c>
      <c r="G15" s="13">
        <f>'تقييم يومي - الإشراف والغرف'!AI9</f>
        <v>0</v>
      </c>
      <c r="H15" s="19">
        <f t="shared" si="2"/>
        <v>0</v>
      </c>
      <c r="I15" s="18">
        <f t="shared" si="3"/>
        <v>0</v>
      </c>
      <c r="J15" s="20">
        <v>3</v>
      </c>
      <c r="K15" s="18">
        <f t="shared" si="4"/>
        <v>0</v>
      </c>
      <c r="L15" s="20"/>
      <c r="M15" s="18">
        <f t="shared" si="5"/>
        <v>0</v>
      </c>
      <c r="N15" s="18"/>
      <c r="O15" s="18">
        <f t="shared" si="6"/>
        <v>0</v>
      </c>
      <c r="P15" s="16">
        <f t="shared" si="7"/>
        <v>0</v>
      </c>
      <c r="Q15" s="20" t="s">
        <v>85</v>
      </c>
    </row>
    <row r="16" spans="1:17" ht="23" customHeight="1" x14ac:dyDescent="0.35">
      <c r="A16" s="11" t="s">
        <v>49</v>
      </c>
      <c r="B16" s="11"/>
      <c r="C16" s="11"/>
      <c r="D16" s="12"/>
      <c r="E16" s="12">
        <f t="shared" si="0"/>
        <v>0</v>
      </c>
      <c r="F16" s="12">
        <f t="shared" si="1"/>
        <v>0</v>
      </c>
      <c r="G16" s="13">
        <f>'تقييم يومي - الإشراف والغرف'!AI10</f>
        <v>0</v>
      </c>
      <c r="H16" s="14">
        <f t="shared" si="2"/>
        <v>0</v>
      </c>
      <c r="I16" s="12">
        <f t="shared" si="3"/>
        <v>0</v>
      </c>
      <c r="J16" s="15">
        <v>0</v>
      </c>
      <c r="K16" s="12">
        <f t="shared" si="4"/>
        <v>0</v>
      </c>
      <c r="L16" s="15"/>
      <c r="M16" s="12">
        <f t="shared" si="5"/>
        <v>0</v>
      </c>
      <c r="N16" s="12"/>
      <c r="O16" s="12">
        <f t="shared" si="6"/>
        <v>0</v>
      </c>
      <c r="P16" s="16">
        <f t="shared" si="7"/>
        <v>0</v>
      </c>
      <c r="Q16" s="15" t="s">
        <v>85</v>
      </c>
    </row>
    <row r="17" spans="1:17" ht="23" customHeight="1" x14ac:dyDescent="0.35">
      <c r="A17" s="17" t="s">
        <v>50</v>
      </c>
      <c r="B17" s="17"/>
      <c r="C17" s="17"/>
      <c r="D17" s="18"/>
      <c r="E17" s="18">
        <f t="shared" si="0"/>
        <v>0</v>
      </c>
      <c r="F17" s="18">
        <f t="shared" si="1"/>
        <v>0</v>
      </c>
      <c r="G17" s="13">
        <f>'تقييم يومي - الإشراف والغرف'!AI11</f>
        <v>0</v>
      </c>
      <c r="H17" s="19">
        <f t="shared" si="2"/>
        <v>0</v>
      </c>
      <c r="I17" s="18">
        <f t="shared" si="3"/>
        <v>0</v>
      </c>
      <c r="J17" s="20">
        <v>0</v>
      </c>
      <c r="K17" s="18">
        <f t="shared" si="4"/>
        <v>0</v>
      </c>
      <c r="L17" s="20"/>
      <c r="M17" s="18">
        <f t="shared" si="5"/>
        <v>0</v>
      </c>
      <c r="N17" s="18"/>
      <c r="O17" s="18">
        <f t="shared" si="6"/>
        <v>0</v>
      </c>
      <c r="P17" s="16">
        <f t="shared" si="7"/>
        <v>0</v>
      </c>
      <c r="Q17" s="20" t="s">
        <v>85</v>
      </c>
    </row>
    <row r="18" spans="1:17" ht="23" customHeight="1" x14ac:dyDescent="0.35">
      <c r="A18" s="11" t="s">
        <v>51</v>
      </c>
      <c r="B18" s="11"/>
      <c r="C18" s="11"/>
      <c r="D18" s="12"/>
      <c r="E18" s="12">
        <f t="shared" si="0"/>
        <v>0</v>
      </c>
      <c r="F18" s="12">
        <f t="shared" si="1"/>
        <v>0</v>
      </c>
      <c r="G18" s="13">
        <f>'تقييم يومي - الإشراف والغرف'!AI12</f>
        <v>0</v>
      </c>
      <c r="H18" s="14">
        <f t="shared" si="2"/>
        <v>0</v>
      </c>
      <c r="I18" s="12">
        <f t="shared" si="3"/>
        <v>0</v>
      </c>
      <c r="J18" s="15">
        <v>1</v>
      </c>
      <c r="K18" s="12">
        <f t="shared" si="4"/>
        <v>0</v>
      </c>
      <c r="L18" s="15"/>
      <c r="M18" s="12">
        <f t="shared" si="5"/>
        <v>0</v>
      </c>
      <c r="N18" s="12"/>
      <c r="O18" s="12">
        <f t="shared" si="6"/>
        <v>0</v>
      </c>
      <c r="P18" s="16">
        <f t="shared" si="7"/>
        <v>0</v>
      </c>
      <c r="Q18" s="15" t="s">
        <v>85</v>
      </c>
    </row>
    <row r="19" spans="1:17" ht="23" customHeight="1" x14ac:dyDescent="0.35">
      <c r="A19" s="17" t="s">
        <v>52</v>
      </c>
      <c r="B19" s="17"/>
      <c r="C19" s="17"/>
      <c r="D19" s="18"/>
      <c r="E19" s="18">
        <f t="shared" si="0"/>
        <v>0</v>
      </c>
      <c r="F19" s="18">
        <f t="shared" si="1"/>
        <v>0</v>
      </c>
      <c r="G19" s="13">
        <f>'تقييم يومي - الإشراف والغرف'!AI13</f>
        <v>0</v>
      </c>
      <c r="H19" s="19">
        <f t="shared" si="2"/>
        <v>0</v>
      </c>
      <c r="I19" s="18">
        <f t="shared" si="3"/>
        <v>0</v>
      </c>
      <c r="J19" s="20">
        <v>2</v>
      </c>
      <c r="K19" s="18">
        <f t="shared" si="4"/>
        <v>0</v>
      </c>
      <c r="L19" s="20"/>
      <c r="M19" s="18">
        <f t="shared" si="5"/>
        <v>0</v>
      </c>
      <c r="N19" s="18"/>
      <c r="O19" s="18">
        <f t="shared" si="6"/>
        <v>0</v>
      </c>
      <c r="P19" s="16">
        <f t="shared" si="7"/>
        <v>0</v>
      </c>
      <c r="Q19" s="20" t="s">
        <v>85</v>
      </c>
    </row>
    <row r="20" spans="1:17" ht="23" customHeight="1" x14ac:dyDescent="0.35">
      <c r="A20" s="11" t="s">
        <v>53</v>
      </c>
      <c r="B20" s="11"/>
      <c r="C20" s="11"/>
      <c r="D20" s="12"/>
      <c r="E20" s="12">
        <f t="shared" si="0"/>
        <v>0</v>
      </c>
      <c r="F20" s="12">
        <f t="shared" si="1"/>
        <v>0</v>
      </c>
      <c r="G20" s="13">
        <f>'تقييم يومي - الإشراف والغرف'!AI14</f>
        <v>0</v>
      </c>
      <c r="H20" s="14">
        <f t="shared" si="2"/>
        <v>0</v>
      </c>
      <c r="I20" s="12">
        <f t="shared" si="3"/>
        <v>0</v>
      </c>
      <c r="J20" s="15">
        <v>0</v>
      </c>
      <c r="K20" s="12">
        <f t="shared" si="4"/>
        <v>0</v>
      </c>
      <c r="L20" s="15"/>
      <c r="M20" s="12">
        <f t="shared" si="5"/>
        <v>0</v>
      </c>
      <c r="N20" s="12"/>
      <c r="O20" s="12">
        <f t="shared" si="6"/>
        <v>0</v>
      </c>
      <c r="P20" s="16">
        <f t="shared" si="7"/>
        <v>0</v>
      </c>
      <c r="Q20" s="15" t="s">
        <v>85</v>
      </c>
    </row>
    <row r="21" spans="1:17" ht="23" customHeight="1" x14ac:dyDescent="0.35">
      <c r="A21" s="17" t="s">
        <v>54</v>
      </c>
      <c r="B21" s="17"/>
      <c r="C21" s="17"/>
      <c r="D21" s="18"/>
      <c r="E21" s="18">
        <f t="shared" si="0"/>
        <v>0</v>
      </c>
      <c r="F21" s="18">
        <f t="shared" si="1"/>
        <v>0</v>
      </c>
      <c r="G21" s="13">
        <f>'تقييم يومي - الإشراف والغرف'!AI15</f>
        <v>0</v>
      </c>
      <c r="H21" s="19">
        <f t="shared" si="2"/>
        <v>0</v>
      </c>
      <c r="I21" s="18">
        <f t="shared" si="3"/>
        <v>0</v>
      </c>
      <c r="J21" s="20">
        <v>0</v>
      </c>
      <c r="K21" s="18">
        <f t="shared" si="4"/>
        <v>0</v>
      </c>
      <c r="L21" s="20"/>
      <c r="M21" s="18">
        <f t="shared" si="5"/>
        <v>0</v>
      </c>
      <c r="N21" s="18"/>
      <c r="O21" s="18">
        <f t="shared" si="6"/>
        <v>0</v>
      </c>
      <c r="P21" s="16">
        <f t="shared" si="7"/>
        <v>0</v>
      </c>
      <c r="Q21" s="20" t="s">
        <v>85</v>
      </c>
    </row>
    <row r="22" spans="1:17" ht="23" customHeight="1" x14ac:dyDescent="0.35">
      <c r="A22" s="11" t="s">
        <v>56</v>
      </c>
      <c r="B22" s="11"/>
      <c r="C22" s="11"/>
      <c r="D22" s="12"/>
      <c r="E22" s="12">
        <f t="shared" si="0"/>
        <v>0</v>
      </c>
      <c r="F22" s="12">
        <f t="shared" si="1"/>
        <v>0</v>
      </c>
      <c r="G22" s="13">
        <f>'تقييم يومي - المطعم والخدمة'!AI4</f>
        <v>0</v>
      </c>
      <c r="H22" s="14">
        <f t="shared" si="2"/>
        <v>0</v>
      </c>
      <c r="I22" s="12">
        <f t="shared" si="3"/>
        <v>0</v>
      </c>
      <c r="J22" s="15">
        <v>0</v>
      </c>
      <c r="K22" s="12">
        <f t="shared" si="4"/>
        <v>0</v>
      </c>
      <c r="L22" s="15"/>
      <c r="M22" s="12">
        <f t="shared" si="5"/>
        <v>0</v>
      </c>
      <c r="N22" s="12"/>
      <c r="O22" s="12">
        <f t="shared" si="6"/>
        <v>0</v>
      </c>
      <c r="P22" s="16">
        <f t="shared" si="7"/>
        <v>0</v>
      </c>
      <c r="Q22" s="15" t="s">
        <v>85</v>
      </c>
    </row>
    <row r="23" spans="1:17" ht="23" customHeight="1" x14ac:dyDescent="0.35">
      <c r="A23" s="17" t="s">
        <v>57</v>
      </c>
      <c r="B23" s="17"/>
      <c r="C23" s="17"/>
      <c r="D23" s="18"/>
      <c r="E23" s="18">
        <f t="shared" si="0"/>
        <v>0</v>
      </c>
      <c r="F23" s="18">
        <f t="shared" si="1"/>
        <v>0</v>
      </c>
      <c r="G23" s="13">
        <f>'تقييم يومي - المطعم والخدمة'!AI5</f>
        <v>0</v>
      </c>
      <c r="H23" s="19">
        <f t="shared" si="2"/>
        <v>0</v>
      </c>
      <c r="I23" s="18">
        <f t="shared" si="3"/>
        <v>0</v>
      </c>
      <c r="J23" s="20">
        <v>0</v>
      </c>
      <c r="K23" s="18">
        <f t="shared" si="4"/>
        <v>0</v>
      </c>
      <c r="L23" s="20"/>
      <c r="M23" s="18">
        <f t="shared" si="5"/>
        <v>0</v>
      </c>
      <c r="N23" s="18"/>
      <c r="O23" s="18">
        <f t="shared" si="6"/>
        <v>0</v>
      </c>
      <c r="P23" s="16">
        <f t="shared" si="7"/>
        <v>0</v>
      </c>
      <c r="Q23" s="20" t="s">
        <v>85</v>
      </c>
    </row>
    <row r="24" spans="1:17" ht="23" customHeight="1" x14ac:dyDescent="0.35">
      <c r="A24" s="11" t="s">
        <v>58</v>
      </c>
      <c r="B24" s="11"/>
      <c r="C24" s="11"/>
      <c r="D24" s="12"/>
      <c r="E24" s="12">
        <f t="shared" si="0"/>
        <v>0</v>
      </c>
      <c r="F24" s="12">
        <f t="shared" si="1"/>
        <v>0</v>
      </c>
      <c r="G24" s="13">
        <f>'تقييم يومي - المطعم والخدمة'!AI6</f>
        <v>0</v>
      </c>
      <c r="H24" s="14">
        <f t="shared" si="2"/>
        <v>0</v>
      </c>
      <c r="I24" s="12">
        <f t="shared" si="3"/>
        <v>0</v>
      </c>
      <c r="J24" s="15">
        <v>0</v>
      </c>
      <c r="K24" s="12">
        <f t="shared" si="4"/>
        <v>0</v>
      </c>
      <c r="L24" s="15"/>
      <c r="M24" s="12">
        <f t="shared" si="5"/>
        <v>0</v>
      </c>
      <c r="N24" s="12"/>
      <c r="O24" s="12">
        <f t="shared" si="6"/>
        <v>0</v>
      </c>
      <c r="P24" s="16">
        <f t="shared" si="7"/>
        <v>0</v>
      </c>
      <c r="Q24" s="15" t="s">
        <v>85</v>
      </c>
    </row>
    <row r="25" spans="1:17" ht="23" customHeight="1" x14ac:dyDescent="0.35">
      <c r="A25" s="17" t="s">
        <v>59</v>
      </c>
      <c r="B25" s="17"/>
      <c r="C25" s="17"/>
      <c r="D25" s="18"/>
      <c r="E25" s="18">
        <f t="shared" si="0"/>
        <v>0</v>
      </c>
      <c r="F25" s="18">
        <f t="shared" si="1"/>
        <v>0</v>
      </c>
      <c r="G25" s="13">
        <f>'تقييم يومي - المطعم والخدمة'!AI7</f>
        <v>0</v>
      </c>
      <c r="H25" s="19">
        <f t="shared" si="2"/>
        <v>0</v>
      </c>
      <c r="I25" s="18">
        <f t="shared" si="3"/>
        <v>0</v>
      </c>
      <c r="J25" s="20">
        <v>2</v>
      </c>
      <c r="K25" s="18">
        <f t="shared" si="4"/>
        <v>0</v>
      </c>
      <c r="L25" s="20"/>
      <c r="M25" s="18">
        <f t="shared" si="5"/>
        <v>0</v>
      </c>
      <c r="N25" s="18"/>
      <c r="O25" s="18">
        <f t="shared" si="6"/>
        <v>0</v>
      </c>
      <c r="P25" s="16">
        <f t="shared" si="7"/>
        <v>0</v>
      </c>
      <c r="Q25" s="20" t="s">
        <v>85</v>
      </c>
    </row>
    <row r="26" spans="1:17" ht="23" customHeight="1" x14ac:dyDescent="0.35">
      <c r="A26" s="11" t="s">
        <v>60</v>
      </c>
      <c r="B26" s="11"/>
      <c r="C26" s="11"/>
      <c r="D26" s="12"/>
      <c r="E26" s="12">
        <f t="shared" si="0"/>
        <v>0</v>
      </c>
      <c r="F26" s="12">
        <f t="shared" si="1"/>
        <v>0</v>
      </c>
      <c r="G26" s="13">
        <f>'تقييم يومي - المطعم والخدمة'!AI8</f>
        <v>0</v>
      </c>
      <c r="H26" s="14">
        <f t="shared" si="2"/>
        <v>0</v>
      </c>
      <c r="I26" s="12">
        <f t="shared" si="3"/>
        <v>0</v>
      </c>
      <c r="J26" s="15">
        <v>0</v>
      </c>
      <c r="K26" s="12">
        <f t="shared" si="4"/>
        <v>0</v>
      </c>
      <c r="L26" s="15"/>
      <c r="M26" s="12">
        <f t="shared" si="5"/>
        <v>0</v>
      </c>
      <c r="N26" s="12"/>
      <c r="O26" s="12">
        <f t="shared" si="6"/>
        <v>0</v>
      </c>
      <c r="P26" s="16">
        <f t="shared" si="7"/>
        <v>0</v>
      </c>
      <c r="Q26" s="15" t="s">
        <v>85</v>
      </c>
    </row>
    <row r="27" spans="1:17" ht="23" customHeight="1" x14ac:dyDescent="0.35">
      <c r="A27" s="17" t="s">
        <v>61</v>
      </c>
      <c r="B27" s="17"/>
      <c r="C27" s="17"/>
      <c r="D27" s="18"/>
      <c r="E27" s="18">
        <f t="shared" si="0"/>
        <v>0</v>
      </c>
      <c r="F27" s="18">
        <f t="shared" si="1"/>
        <v>0</v>
      </c>
      <c r="G27" s="13">
        <f>'تقييم يومي - المطعم والخدمة'!AI9</f>
        <v>0</v>
      </c>
      <c r="H27" s="19">
        <f t="shared" si="2"/>
        <v>0</v>
      </c>
      <c r="I27" s="18">
        <f t="shared" si="3"/>
        <v>0</v>
      </c>
      <c r="J27" s="20">
        <v>0</v>
      </c>
      <c r="K27" s="18">
        <f t="shared" si="4"/>
        <v>0</v>
      </c>
      <c r="L27" s="20"/>
      <c r="M27" s="18">
        <f t="shared" si="5"/>
        <v>0</v>
      </c>
      <c r="N27" s="18"/>
      <c r="O27" s="18">
        <f t="shared" si="6"/>
        <v>0</v>
      </c>
      <c r="P27" s="16">
        <f t="shared" si="7"/>
        <v>0</v>
      </c>
      <c r="Q27" s="20" t="s">
        <v>85</v>
      </c>
    </row>
    <row r="28" spans="1:17" ht="23" customHeight="1" x14ac:dyDescent="0.35">
      <c r="A28" s="11" t="s">
        <v>62</v>
      </c>
      <c r="B28" s="11"/>
      <c r="C28" s="11"/>
      <c r="D28" s="12"/>
      <c r="E28" s="12">
        <f t="shared" si="0"/>
        <v>0</v>
      </c>
      <c r="F28" s="12">
        <f t="shared" si="1"/>
        <v>0</v>
      </c>
      <c r="G28" s="13">
        <f>'تقييم يومي - المطعم والخدمة'!AI10</f>
        <v>0</v>
      </c>
      <c r="H28" s="14">
        <f t="shared" si="2"/>
        <v>0</v>
      </c>
      <c r="I28" s="12">
        <f t="shared" si="3"/>
        <v>0</v>
      </c>
      <c r="J28" s="15">
        <v>1</v>
      </c>
      <c r="K28" s="12">
        <f t="shared" si="4"/>
        <v>0</v>
      </c>
      <c r="L28" s="15"/>
      <c r="M28" s="12">
        <f t="shared" si="5"/>
        <v>0</v>
      </c>
      <c r="N28" s="12"/>
      <c r="O28" s="12">
        <f t="shared" si="6"/>
        <v>0</v>
      </c>
      <c r="P28" s="16">
        <f t="shared" si="7"/>
        <v>0</v>
      </c>
      <c r="Q28" s="15" t="s">
        <v>85</v>
      </c>
    </row>
    <row r="29" spans="1:17" ht="23" customHeight="1" x14ac:dyDescent="0.35">
      <c r="A29" s="17" t="s">
        <v>63</v>
      </c>
      <c r="B29" s="17"/>
      <c r="C29" s="17"/>
      <c r="D29" s="18"/>
      <c r="E29" s="18">
        <f t="shared" si="0"/>
        <v>0</v>
      </c>
      <c r="F29" s="18">
        <f t="shared" si="1"/>
        <v>0</v>
      </c>
      <c r="G29" s="13">
        <f>'تقييم يومي - المطعم والخدمة'!AI11</f>
        <v>0</v>
      </c>
      <c r="H29" s="19">
        <f t="shared" si="2"/>
        <v>0</v>
      </c>
      <c r="I29" s="18">
        <f t="shared" si="3"/>
        <v>0</v>
      </c>
      <c r="J29" s="20">
        <v>0</v>
      </c>
      <c r="K29" s="18">
        <f t="shared" si="4"/>
        <v>0</v>
      </c>
      <c r="L29" s="20"/>
      <c r="M29" s="18">
        <f t="shared" si="5"/>
        <v>0</v>
      </c>
      <c r="N29" s="18"/>
      <c r="O29" s="18">
        <f t="shared" si="6"/>
        <v>0</v>
      </c>
      <c r="P29" s="16">
        <f t="shared" si="7"/>
        <v>0</v>
      </c>
      <c r="Q29" s="20" t="s">
        <v>85</v>
      </c>
    </row>
    <row r="30" spans="1:17" ht="23" customHeight="1" x14ac:dyDescent="0.35">
      <c r="A30" s="11" t="s">
        <v>65</v>
      </c>
      <c r="B30" s="11"/>
      <c r="C30" s="11"/>
      <c r="D30" s="12"/>
      <c r="E30" s="12">
        <f t="shared" si="0"/>
        <v>0</v>
      </c>
      <c r="F30" s="12">
        <f t="shared" si="1"/>
        <v>0</v>
      </c>
      <c r="G30" s="13">
        <f>'تقييم يومي - الصيانة والخدمات'!AI4</f>
        <v>0</v>
      </c>
      <c r="H30" s="14">
        <f t="shared" si="2"/>
        <v>0</v>
      </c>
      <c r="I30" s="12">
        <f t="shared" si="3"/>
        <v>0</v>
      </c>
      <c r="J30" s="15">
        <v>0</v>
      </c>
      <c r="K30" s="12">
        <f t="shared" si="4"/>
        <v>0</v>
      </c>
      <c r="L30" s="15"/>
      <c r="M30" s="12">
        <f t="shared" si="5"/>
        <v>0</v>
      </c>
      <c r="N30" s="12"/>
      <c r="O30" s="12">
        <f t="shared" si="6"/>
        <v>0</v>
      </c>
      <c r="P30" s="16">
        <f t="shared" si="7"/>
        <v>0</v>
      </c>
      <c r="Q30" s="15" t="s">
        <v>85</v>
      </c>
    </row>
    <row r="31" spans="1:17" ht="23" customHeight="1" x14ac:dyDescent="0.35">
      <c r="A31" s="17" t="s">
        <v>66</v>
      </c>
      <c r="B31" s="17"/>
      <c r="C31" s="17"/>
      <c r="D31" s="18"/>
      <c r="E31" s="18">
        <f t="shared" si="0"/>
        <v>0</v>
      </c>
      <c r="F31" s="18">
        <f t="shared" si="1"/>
        <v>0</v>
      </c>
      <c r="G31" s="13">
        <f>'تقييم يومي - الصيانة والخدمات'!AI5</f>
        <v>0</v>
      </c>
      <c r="H31" s="19">
        <f t="shared" si="2"/>
        <v>0</v>
      </c>
      <c r="I31" s="18">
        <f t="shared" si="3"/>
        <v>0</v>
      </c>
      <c r="J31" s="20">
        <v>0</v>
      </c>
      <c r="K31" s="18">
        <f t="shared" si="4"/>
        <v>0</v>
      </c>
      <c r="L31" s="20"/>
      <c r="M31" s="18">
        <f t="shared" si="5"/>
        <v>0</v>
      </c>
      <c r="N31" s="18"/>
      <c r="O31" s="18">
        <f t="shared" si="6"/>
        <v>0</v>
      </c>
      <c r="P31" s="16">
        <f t="shared" si="7"/>
        <v>0</v>
      </c>
      <c r="Q31" s="20" t="s">
        <v>85</v>
      </c>
    </row>
    <row r="32" spans="1:17" ht="23" customHeight="1" x14ac:dyDescent="0.35">
      <c r="A32" s="11" t="s">
        <v>67</v>
      </c>
      <c r="B32" s="11"/>
      <c r="C32" s="11"/>
      <c r="D32" s="12"/>
      <c r="E32" s="12">
        <f t="shared" si="0"/>
        <v>0</v>
      </c>
      <c r="F32" s="12">
        <f t="shared" si="1"/>
        <v>0</v>
      </c>
      <c r="G32" s="13">
        <f>'تقييم يومي - الصيانة والخدمات'!AI6</f>
        <v>0</v>
      </c>
      <c r="H32" s="14">
        <f t="shared" si="2"/>
        <v>0</v>
      </c>
      <c r="I32" s="12">
        <f t="shared" si="3"/>
        <v>0</v>
      </c>
      <c r="J32" s="15">
        <v>1</v>
      </c>
      <c r="K32" s="12">
        <f t="shared" si="4"/>
        <v>0</v>
      </c>
      <c r="L32" s="15"/>
      <c r="M32" s="12">
        <f t="shared" si="5"/>
        <v>0</v>
      </c>
      <c r="N32" s="12"/>
      <c r="O32" s="12">
        <f t="shared" si="6"/>
        <v>0</v>
      </c>
      <c r="P32" s="16">
        <f t="shared" si="7"/>
        <v>0</v>
      </c>
      <c r="Q32" s="15" t="s">
        <v>85</v>
      </c>
    </row>
    <row r="33" spans="1:17" ht="23" customHeight="1" x14ac:dyDescent="0.35">
      <c r="A33" s="17" t="s">
        <v>68</v>
      </c>
      <c r="B33" s="17"/>
      <c r="C33" s="17"/>
      <c r="D33" s="18"/>
      <c r="E33" s="18">
        <f t="shared" si="0"/>
        <v>0</v>
      </c>
      <c r="F33" s="18">
        <f t="shared" si="1"/>
        <v>0</v>
      </c>
      <c r="G33" s="13">
        <f>'تقييم يومي - الصيانة والخدمات'!AI7</f>
        <v>0</v>
      </c>
      <c r="H33" s="19">
        <f t="shared" si="2"/>
        <v>0</v>
      </c>
      <c r="I33" s="18">
        <f t="shared" si="3"/>
        <v>0</v>
      </c>
      <c r="J33" s="20">
        <v>0</v>
      </c>
      <c r="K33" s="18">
        <f t="shared" si="4"/>
        <v>0</v>
      </c>
      <c r="L33" s="20"/>
      <c r="M33" s="18">
        <f t="shared" si="5"/>
        <v>0</v>
      </c>
      <c r="N33" s="18"/>
      <c r="O33" s="18">
        <f t="shared" si="6"/>
        <v>0</v>
      </c>
      <c r="P33" s="16">
        <f t="shared" si="7"/>
        <v>0</v>
      </c>
      <c r="Q33" s="20" t="s">
        <v>85</v>
      </c>
    </row>
    <row r="34" spans="1:17" ht="28" customHeight="1" x14ac:dyDescent="0.35">
      <c r="A34" s="21" t="s">
        <v>86</v>
      </c>
      <c r="B34" s="21" t="s">
        <v>87</v>
      </c>
      <c r="C34" s="21" t="s">
        <v>88</v>
      </c>
      <c r="D34" s="22">
        <f>SUM(D4:D33)</f>
        <v>0</v>
      </c>
      <c r="E34" s="22">
        <f>SUM(E4:E33)</f>
        <v>0</v>
      </c>
      <c r="F34" s="22">
        <f>SUM(F4:F33)</f>
        <v>0</v>
      </c>
      <c r="G34" s="21">
        <f>AVERAGE(G4:G33)</f>
        <v>0</v>
      </c>
      <c r="H34" s="21" t="s">
        <v>88</v>
      </c>
      <c r="I34" s="22">
        <f t="shared" ref="I34:P34" si="8">SUM(I4:I33)</f>
        <v>0</v>
      </c>
      <c r="J34" s="21">
        <f t="shared" si="8"/>
        <v>15</v>
      </c>
      <c r="K34" s="22">
        <f t="shared" si="8"/>
        <v>0</v>
      </c>
      <c r="L34" s="21">
        <f t="shared" si="8"/>
        <v>0</v>
      </c>
      <c r="M34" s="22">
        <f t="shared" si="8"/>
        <v>0</v>
      </c>
      <c r="N34" s="22">
        <f t="shared" si="8"/>
        <v>0</v>
      </c>
      <c r="O34" s="22">
        <f t="shared" si="8"/>
        <v>0</v>
      </c>
      <c r="P34" s="22">
        <f t="shared" si="8"/>
        <v>0</v>
      </c>
      <c r="Q34" s="21" t="s">
        <v>88</v>
      </c>
    </row>
  </sheetData>
  <mergeCells count="1">
    <mergeCell ref="A1:Q1"/>
  </mergeCell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7"/>
  <sheetViews>
    <sheetView rightToLeft="1" workbookViewId="0">
      <selection sqref="A1:E1"/>
    </sheetView>
  </sheetViews>
  <sheetFormatPr defaultRowHeight="14.5" x14ac:dyDescent="0.35"/>
  <cols>
    <col min="1" max="1" width="35" customWidth="1"/>
    <col min="2" max="2" width="85" customWidth="1"/>
  </cols>
  <sheetData>
    <row r="1" spans="1:5" ht="19" x14ac:dyDescent="0.35">
      <c r="A1" s="27" t="s">
        <v>89</v>
      </c>
      <c r="B1" s="27"/>
      <c r="C1" s="27"/>
      <c r="D1" s="27"/>
      <c r="E1" s="27"/>
    </row>
    <row r="3" spans="1:5" ht="36" customHeight="1" x14ac:dyDescent="0.35">
      <c r="A3" s="23" t="s">
        <v>90</v>
      </c>
      <c r="B3" s="24" t="s">
        <v>91</v>
      </c>
    </row>
    <row r="4" spans="1:5" ht="36" customHeight="1" x14ac:dyDescent="0.35">
      <c r="A4" s="23" t="s">
        <v>92</v>
      </c>
      <c r="B4" s="24" t="s">
        <v>93</v>
      </c>
    </row>
    <row r="5" spans="1:5" ht="36" customHeight="1" x14ac:dyDescent="0.35">
      <c r="A5" s="23" t="s">
        <v>94</v>
      </c>
      <c r="B5" s="24" t="s">
        <v>95</v>
      </c>
    </row>
    <row r="6" spans="1:5" ht="36" customHeight="1" x14ac:dyDescent="0.35">
      <c r="A6" s="23" t="s">
        <v>96</v>
      </c>
      <c r="B6" s="24" t="s">
        <v>97</v>
      </c>
    </row>
    <row r="7" spans="1:5" ht="36" customHeight="1" x14ac:dyDescent="0.35">
      <c r="A7" s="23" t="s">
        <v>98</v>
      </c>
      <c r="B7" s="24" t="s">
        <v>99</v>
      </c>
    </row>
  </sheetData>
  <mergeCells count="1">
    <mergeCell ref="A1:E1"/>
  </mergeCell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تقييم يومي - الاستقبال</vt:lpstr>
      <vt:lpstr>تقييم يومي - الإشراف والغرف</vt:lpstr>
      <vt:lpstr>تقييم يومي - المطعم والخدمة</vt:lpstr>
      <vt:lpstr>تقييم يومي - الصيانة والخدمات</vt:lpstr>
      <vt:lpstr>كشف الرواتب والتقييم الشهري</vt:lpstr>
      <vt:lpstr>دليل وشروط حساب المرتبات</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2026-08-15T11:01:02Z</dcterms:created>
  <dcterms:modified xsi:type="dcterms:W3CDTF">2026-08-15T11:09:31Z</dcterms:modified>
  <cp:category/>
</cp:coreProperties>
</file>