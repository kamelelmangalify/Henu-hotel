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كشف الحضور (المجموعة 1)" state="visible" r:id="rId4"/>
    <sheet sheetId="2" name="كشف الحضور (المجموعة 2)" state="visible" r:id="rId5"/>
  </sheets>
  <calcPr calcId="171027"/>
</workbook>
</file>

<file path=xl/sharedStrings.xml><?xml version="1.0" encoding="utf-8"?>
<sst xmlns="http://schemas.openxmlformats.org/spreadsheetml/2006/main" count="1500" uniqueCount="110">
  <si>
    <t>🏨 فندق هينو الأهرامات — كشف الحضور والانصراف والدوام الشهري (20 موظف)</t>
  </si>
  <si>
    <t>الشهر: ................. 2026م</t>
  </si>
  <si>
    <t>القسم: ...........................................</t>
  </si>
  <si>
    <t>الرموز: (ح: حضور | غ: غياب | ج: إجازة | خ: تأخير)</t>
  </si>
  <si>
    <t>اعتماد المدير: ..............................</t>
  </si>
  <si>
    <t>م</t>
  </si>
  <si>
    <t>كود</t>
  </si>
  <si>
    <t>اسم الموظف</t>
  </si>
  <si>
    <t>القسم / الوظيفة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</si>
  <si>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</si>
  <si>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</si>
  <si>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</si>
  <si>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</si>
  <si>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</si>
  <si>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</si>
  <si>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</si>
  <si>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</si>
  <si>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</si>
  <si>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</si>
  <si>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</si>
  <si>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</si>
  <si>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</si>
  <si>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</si>
  <si>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</si>
  <si>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</si>
  <si>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</si>
  <si>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</si>
  <si>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</si>
  <si>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</si>
  <si>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</si>
  <si>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</si>
  <si>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</si>
  <si>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</si>
  <si>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</si>
  <si>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</si>
  <si>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</si>
  <si>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</si>
  <si>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</si>
  <si>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</si>
  <si>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</si>
  <si>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حضور</t>
  </si>
  <si>
    <t>غياب</t>
  </si>
  <si>
    <t>إجازة</t>
  </si>
  <si>
    <t>تأخير</t>
  </si>
  <si>
    <t>ملاحظات / التوقيع</t>
  </si>
  <si>
    <t>EMP-101</t>
  </si>
  <si>
    <t>أحمد محمود علي</t>
  </si>
  <si>
    <t>مشرف استقبال</t>
  </si>
  <si>
    <t>ح</t>
  </si>
  <si>
    <t>ج</t>
  </si>
  <si>
    <t/>
  </si>
  <si>
    <t>EMP-102</t>
  </si>
  <si>
    <t>محمد حسن إبراهيم</t>
  </si>
  <si>
    <t>موظف استقبال نهار</t>
  </si>
  <si>
    <t>خ</t>
  </si>
  <si>
    <t>EMP-103</t>
  </si>
  <si>
    <t>عمر خالد فوزي</t>
  </si>
  <si>
    <t>موظف استقبال ليل</t>
  </si>
  <si>
    <t>غ</t>
  </si>
  <si>
    <t>EMP-104</t>
  </si>
  <si>
    <t>نور الدين طارق</t>
  </si>
  <si>
    <t>موظف استقبال</t>
  </si>
  <si>
    <t>EMP-105</t>
  </si>
  <si>
    <t>مريم عادل القاضي</t>
  </si>
  <si>
    <t>علاقات نزلاء</t>
  </si>
  <si>
    <t>EMP-106</t>
  </si>
  <si>
    <t>مصطفى كمال الدين</t>
  </si>
  <si>
    <t>مساعد استقبال</t>
  </si>
  <si>
    <t>EMP-107</t>
  </si>
  <si>
    <t>أميرة عبد العزيز</t>
  </si>
  <si>
    <t>مشرفة الإشراف الداخلي</t>
  </si>
  <si>
    <t>EMP-108</t>
  </si>
  <si>
    <t>سيد مصطفى طه</t>
  </si>
  <si>
    <t>عامل غرف أول</t>
  </si>
  <si>
    <t>EMP-109</t>
  </si>
  <si>
    <t>حسين علي كمال</t>
  </si>
  <si>
    <t>عامل تنظيف غرف</t>
  </si>
  <si>
    <t>EMP-110</t>
  </si>
  <si>
    <t>إبراهيم خليفة</t>
  </si>
  <si>
    <t>EMP-111</t>
  </si>
  <si>
    <t>رمضان فتحي</t>
  </si>
  <si>
    <t>EMP-112</t>
  </si>
  <si>
    <t>عاطف منصور</t>
  </si>
  <si>
    <t>EMP-113</t>
  </si>
  <si>
    <t>حسن شحاتة</t>
  </si>
  <si>
    <t>عامل غسيل وكتانيات</t>
  </si>
  <si>
    <t>EMP-114</t>
  </si>
  <si>
    <t>زينب أحمد السيد</t>
  </si>
  <si>
    <t>عامله نظافة أماكن عامة</t>
  </si>
  <si>
    <t>EMP-115</t>
  </si>
  <si>
    <t>خالد رجب سلامة</t>
  </si>
  <si>
    <t>مدير مطعم وكافيه</t>
  </si>
  <si>
    <t>EMP-116</t>
  </si>
  <si>
    <t>طارق صلاح الدين</t>
  </si>
  <si>
    <t>مشرف أغذية ومشروبات</t>
  </si>
  <si>
    <t>EMP-117</t>
  </si>
  <si>
    <t>إسلام يوسف أحمد</t>
  </si>
  <si>
    <t>ويتر كافيه رئيسي</t>
  </si>
  <si>
    <t>EMP-118</t>
  </si>
  <si>
    <t>وليد صبري</t>
  </si>
  <si>
    <t>ويتر مطعم إفطار</t>
  </si>
  <si>
    <t>EMP-119</t>
  </si>
  <si>
    <t>المهندس تامر فؤاد</t>
  </si>
  <si>
    <t>مشرف صيانة الفندق</t>
  </si>
  <si>
    <t>EMP-120</t>
  </si>
  <si>
    <t>صبحي عبد العال</t>
  </si>
  <si>
    <t>مسؤول أمن وحراسة</t>
  </si>
  <si>
    <t>-</t>
  </si>
  <si>
    <t>الإجمالي الكلي</t>
  </si>
  <si>
    <t>🏨 فندق هينو الأهرامات — كشف الحضور والانصراف والدوام الشهري (المجموعة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</si>
</sst>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1F4E78"/>
      <sz val="9"/>
      <name val="Arial"/>
    </font>
    <font>
      <b/>
      <color rgb="FFFFFFFF"/>
      <sz val="8.5"/>
      <name val="Arial"/>
    </font>
    <font>
      <sz val="8.5"/>
      <name val="Arial"/>
    </font>
    <font>
      <b/>
      <color rgb="FF276749"/>
      <sz val="8.5"/>
      <name val="Arial"/>
    </font>
    <font>
      <b/>
      <color rgb="FFD97706"/>
      <sz val="8.5"/>
      <name val="Arial"/>
    </font>
    <font>
      <b/>
      <color rgb="FFDD6B20"/>
      <sz val="8.5"/>
      <name val="Arial"/>
    </font>
    <font>
      <b/>
      <color rgb="FFC53030"/>
      <sz val="8.5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2F4F8"/>
      </patternFill>
    </fill>
    <fill>
      <patternFill patternType="solid">
        <fgColor rgb="FF2F5597"/>
      </patternFill>
    </fill>
    <fill>
      <patternFill patternType="solid">
        <fgColor rgb="F9FAFB"/>
      </patternFill>
    </fill>
    <fill>
      <patternFill patternType="solid">
        <fgColor rgb="EDF2F7"/>
      </patternFill>
    </fill>
    <fill>
      <patternFill patternType="solid">
        <fgColor rgb="FFFFFF"/>
      </patternFill>
    </fill>
    <fill>
      <patternFill patternType="solid">
        <fgColor rgb="FFF5F5"/>
      </patternFill>
    </fill>
    <fill>
      <patternFill patternType="solid">
        <fgColor rgb="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CCCCCC"/>
      </left>
      <right style="thin">
        <color rgb="CCCCCC"/>
      </right>
      <top style="thin">
        <color rgb="CCCCCC"/>
      </top>
      <bottom style="medium">
        <color rgb="1F4E78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B4C6E7"/>
      </left>
      <right style="thin">
        <color rgb="B4C6E7"/>
      </right>
      <top style="double">
        <color rgb="1F4E78"/>
      </top>
      <bottom style="double">
        <color rgb="1F4E7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right" vertical="center"/>
    </xf>
    <xf numFmtId="0" fontId="5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25"/>
  <sheetViews>
    <sheetView workbookViewId="0" rightToLeft="1"/>
  </sheetViews>
  <sheetFormatPr defaultRowHeight="15" outlineLevelRow="0" outlineLevelCol="0" x14ac:dyDescent="55"/>
  <cols>
    <col min="1" max="1" width="4.5" customWidth="1"/>
    <col min="2" max="2" width="10" customWidth="1"/>
    <col min="3" max="4" width="20" customWidth="1"/>
    <col min="5" max="35" width="4.2" customWidth="1"/>
    <col min="36" max="39" width="7.5" customWidth="1"/>
    <col min="40" max="40" width="16" customWidth="1"/>
  </cols>
  <sheetData>
    <row r="1" spans="1:3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24" customHeight="1" spans="1:37" x14ac:dyDescent="0.25">
      <c r="A2" s="2" t="s">
        <v>1</v>
      </c>
      <c r="B2" s="2"/>
      <c r="C2" s="2"/>
      <c r="D2" s="2"/>
      <c r="E2" s="2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 t="s">
        <v>3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 t="s">
        <v>4</v>
      </c>
      <c r="AF2" s="2"/>
      <c r="AG2" s="2"/>
      <c r="AH2" s="2"/>
      <c r="AI2" s="2"/>
      <c r="AJ2" s="2"/>
      <c r="AK2" s="2"/>
    </row>
    <row r="4" ht="26" customHeight="1" spans="1:40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19</v>
      </c>
      <c r="P4" s="3" t="s">
        <v>20</v>
      </c>
      <c r="Q4" s="3" t="s">
        <v>21</v>
      </c>
      <c r="R4" s="3" t="s">
        <v>22</v>
      </c>
      <c r="S4" s="3" t="s">
        <v>23</v>
      </c>
      <c r="T4" s="3" t="s">
        <v>24</v>
      </c>
      <c r="U4" s="3" t="s">
        <v>25</v>
      </c>
      <c r="V4" s="3" t="s">
        <v>26</v>
      </c>
      <c r="W4" s="3" t="s">
        <v>27</v>
      </c>
      <c r="X4" s="3" t="s">
        <v>28</v>
      </c>
      <c r="Y4" s="3" t="s">
        <v>29</v>
      </c>
      <c r="Z4" s="3" t="s">
        <v>30</v>
      </c>
      <c r="AA4" s="3" t="s">
        <v>31</v>
      </c>
      <c r="AB4" s="3" t="s">
        <v>32</v>
      </c>
      <c r="AC4" s="3" t="s">
        <v>33</v>
      </c>
      <c r="AD4" s="3" t="s">
        <v>34</v>
      </c>
      <c r="AE4" s="3" t="s">
        <v>35</v>
      </c>
      <c r="AF4" s="3" t="s">
        <v>36</v>
      </c>
      <c r="AG4" s="3" t="s">
        <v>37</v>
      </c>
      <c r="AH4" s="3" t="s">
        <v>38</v>
      </c>
      <c r="AI4" s="3" t="s">
        <v>39</v>
      </c>
      <c r="AJ4" s="3" t="s">
        <v>40</v>
      </c>
      <c r="AK4" s="3" t="s">
        <v>41</v>
      </c>
      <c r="AL4" s="3" t="s">
        <v>42</v>
      </c>
      <c r="AM4" s="3" t="s">
        <v>43</v>
      </c>
      <c r="AN4" s="3" t="s">
        <v>44</v>
      </c>
    </row>
    <row r="5" ht="20" customHeight="1" spans="1:40" x14ac:dyDescent="0.25">
      <c r="A5" s="4">
        <v>1</v>
      </c>
      <c r="B5" s="4" t="s">
        <v>45</v>
      </c>
      <c r="C5" s="4" t="s">
        <v>46</v>
      </c>
      <c r="D5" s="4" t="s">
        <v>47</v>
      </c>
      <c r="E5" s="5" t="s">
        <v>48</v>
      </c>
      <c r="F5" s="5" t="s">
        <v>48</v>
      </c>
      <c r="G5" s="5" t="s">
        <v>48</v>
      </c>
      <c r="H5" s="5" t="s">
        <v>48</v>
      </c>
      <c r="I5" s="5" t="s">
        <v>48</v>
      </c>
      <c r="J5" s="5" t="s">
        <v>48</v>
      </c>
      <c r="K5" s="6" t="s">
        <v>49</v>
      </c>
      <c r="L5" s="5" t="s">
        <v>48</v>
      </c>
      <c r="M5" s="5" t="s">
        <v>48</v>
      </c>
      <c r="N5" s="5" t="s">
        <v>48</v>
      </c>
      <c r="O5" s="5" t="s">
        <v>48</v>
      </c>
      <c r="P5" s="5" t="s">
        <v>48</v>
      </c>
      <c r="Q5" s="5" t="s">
        <v>48</v>
      </c>
      <c r="R5" s="6" t="s">
        <v>49</v>
      </c>
      <c r="S5" s="5" t="s">
        <v>48</v>
      </c>
      <c r="T5" s="5" t="s">
        <v>48</v>
      </c>
      <c r="U5" s="5" t="s">
        <v>48</v>
      </c>
      <c r="V5" s="5" t="s">
        <v>48</v>
      </c>
      <c r="W5" s="5" t="s">
        <v>48</v>
      </c>
      <c r="X5" s="5" t="s">
        <v>48</v>
      </c>
      <c r="Y5" s="6" t="s">
        <v>49</v>
      </c>
      <c r="Z5" s="5" t="s">
        <v>48</v>
      </c>
      <c r="AA5" s="5" t="s">
        <v>48</v>
      </c>
      <c r="AB5" s="5" t="s">
        <v>48</v>
      </c>
      <c r="AC5" s="5" t="s">
        <v>48</v>
      </c>
      <c r="AD5" s="5" t="s">
        <v>48</v>
      </c>
      <c r="AE5" s="5" t="s">
        <v>48</v>
      </c>
      <c r="AF5" s="6" t="s">
        <v>49</v>
      </c>
      <c r="AG5" s="5" t="s">
        <v>48</v>
      </c>
      <c r="AH5" s="5" t="s">
        <v>48</v>
      </c>
      <c r="AI5" s="5" t="s">
        <v>48</v>
      </c>
      <c r="AJ5" s="7">
        <f>COUNTIF(E5:AI5, "ح")</f>
      </c>
      <c r="AK5" s="7">
        <f>COUNTIF(E5:AI5, "غ")</f>
      </c>
      <c r="AL5" s="7">
        <f>COUNTIF(E5:AI5, "ج")</f>
      </c>
      <c r="AM5" s="7">
        <f>COUNTIF(E5:AI5, "خ")</f>
      </c>
      <c r="AN5" s="8" t="s">
        <v>50</v>
      </c>
    </row>
    <row r="6" ht="20" customHeight="1" spans="1:40" x14ac:dyDescent="0.25">
      <c r="A6" s="9">
        <v>2</v>
      </c>
      <c r="B6" s="9" t="s">
        <v>51</v>
      </c>
      <c r="C6" s="9" t="s">
        <v>52</v>
      </c>
      <c r="D6" s="9" t="s">
        <v>53</v>
      </c>
      <c r="E6" s="10" t="s">
        <v>48</v>
      </c>
      <c r="F6" s="10" t="s">
        <v>48</v>
      </c>
      <c r="G6" s="10" t="s">
        <v>48</v>
      </c>
      <c r="H6" s="10" t="s">
        <v>48</v>
      </c>
      <c r="I6" s="10" t="s">
        <v>48</v>
      </c>
      <c r="J6" s="10" t="s">
        <v>48</v>
      </c>
      <c r="K6" s="11" t="s">
        <v>49</v>
      </c>
      <c r="L6" s="10" t="s">
        <v>48</v>
      </c>
      <c r="M6" s="10" t="s">
        <v>48</v>
      </c>
      <c r="N6" s="10" t="s">
        <v>48</v>
      </c>
      <c r="O6" s="10" t="s">
        <v>48</v>
      </c>
      <c r="P6" s="10" t="s">
        <v>48</v>
      </c>
      <c r="Q6" s="10" t="s">
        <v>48</v>
      </c>
      <c r="R6" s="11" t="s">
        <v>49</v>
      </c>
      <c r="S6" s="10" t="s">
        <v>48</v>
      </c>
      <c r="T6" s="10" t="s">
        <v>48</v>
      </c>
      <c r="U6" s="10" t="s">
        <v>48</v>
      </c>
      <c r="V6" s="10" t="s">
        <v>48</v>
      </c>
      <c r="W6" s="10" t="s">
        <v>48</v>
      </c>
      <c r="X6" s="10" t="s">
        <v>48</v>
      </c>
      <c r="Y6" s="11" t="s">
        <v>49</v>
      </c>
      <c r="Z6" s="12" t="s">
        <v>54</v>
      </c>
      <c r="AA6" s="10" t="s">
        <v>48</v>
      </c>
      <c r="AB6" s="10" t="s">
        <v>48</v>
      </c>
      <c r="AC6" s="10" t="s">
        <v>48</v>
      </c>
      <c r="AD6" s="10" t="s">
        <v>48</v>
      </c>
      <c r="AE6" s="10" t="s">
        <v>48</v>
      </c>
      <c r="AF6" s="11" t="s">
        <v>49</v>
      </c>
      <c r="AG6" s="10" t="s">
        <v>48</v>
      </c>
      <c r="AH6" s="10" t="s">
        <v>48</v>
      </c>
      <c r="AI6" s="10" t="s">
        <v>48</v>
      </c>
      <c r="AJ6" s="7">
        <f>COUNTIF(E6:AI6, "ح")</f>
      </c>
      <c r="AK6" s="7">
        <f>COUNTIF(E6:AI6, "غ")</f>
      </c>
      <c r="AL6" s="7">
        <f>COUNTIF(E6:AI6, "ج")</f>
      </c>
      <c r="AM6" s="7">
        <f>COUNTIF(E6:AI6, "خ")</f>
      </c>
      <c r="AN6" s="13" t="s">
        <v>50</v>
      </c>
    </row>
    <row r="7" ht="20" customHeight="1" spans="1:40" x14ac:dyDescent="0.25">
      <c r="A7" s="4">
        <v>3</v>
      </c>
      <c r="B7" s="4" t="s">
        <v>55</v>
      </c>
      <c r="C7" s="4" t="s">
        <v>56</v>
      </c>
      <c r="D7" s="4" t="s">
        <v>57</v>
      </c>
      <c r="E7" s="5" t="s">
        <v>48</v>
      </c>
      <c r="F7" s="5" t="s">
        <v>48</v>
      </c>
      <c r="G7" s="5" t="s">
        <v>48</v>
      </c>
      <c r="H7" s="5" t="s">
        <v>48</v>
      </c>
      <c r="I7" s="5" t="s">
        <v>48</v>
      </c>
      <c r="J7" s="5" t="s">
        <v>48</v>
      </c>
      <c r="K7" s="6" t="s">
        <v>49</v>
      </c>
      <c r="L7" s="5" t="s">
        <v>48</v>
      </c>
      <c r="M7" s="5" t="s">
        <v>48</v>
      </c>
      <c r="N7" s="5" t="s">
        <v>48</v>
      </c>
      <c r="O7" s="5" t="s">
        <v>48</v>
      </c>
      <c r="P7" s="5" t="s">
        <v>48</v>
      </c>
      <c r="Q7" s="5" t="s">
        <v>48</v>
      </c>
      <c r="R7" s="6" t="s">
        <v>49</v>
      </c>
      <c r="S7" s="14" t="s">
        <v>58</v>
      </c>
      <c r="T7" s="5" t="s">
        <v>48</v>
      </c>
      <c r="U7" s="5" t="s">
        <v>48</v>
      </c>
      <c r="V7" s="5" t="s">
        <v>48</v>
      </c>
      <c r="W7" s="5" t="s">
        <v>48</v>
      </c>
      <c r="X7" s="5" t="s">
        <v>48</v>
      </c>
      <c r="Y7" s="6" t="s">
        <v>49</v>
      </c>
      <c r="Z7" s="5" t="s">
        <v>48</v>
      </c>
      <c r="AA7" s="5" t="s">
        <v>48</v>
      </c>
      <c r="AB7" s="5" t="s">
        <v>48</v>
      </c>
      <c r="AC7" s="5" t="s">
        <v>48</v>
      </c>
      <c r="AD7" s="5" t="s">
        <v>48</v>
      </c>
      <c r="AE7" s="5" t="s">
        <v>48</v>
      </c>
      <c r="AF7" s="6" t="s">
        <v>49</v>
      </c>
      <c r="AG7" s="5" t="s">
        <v>48</v>
      </c>
      <c r="AH7" s="5" t="s">
        <v>48</v>
      </c>
      <c r="AI7" s="5" t="s">
        <v>48</v>
      </c>
      <c r="AJ7" s="7">
        <f>COUNTIF(E7:AI7, "ح")</f>
      </c>
      <c r="AK7" s="7">
        <f>COUNTIF(E7:AI7, "غ")</f>
      </c>
      <c r="AL7" s="7">
        <f>COUNTIF(E7:AI7, "ج")</f>
      </c>
      <c r="AM7" s="7">
        <f>COUNTIF(E7:AI7, "خ")</f>
      </c>
      <c r="AN7" s="8" t="s">
        <v>50</v>
      </c>
    </row>
    <row r="8" ht="20" customHeight="1" spans="1:40" x14ac:dyDescent="0.25">
      <c r="A8" s="9">
        <v>4</v>
      </c>
      <c r="B8" s="9" t="s">
        <v>59</v>
      </c>
      <c r="C8" s="9" t="s">
        <v>60</v>
      </c>
      <c r="D8" s="9" t="s">
        <v>61</v>
      </c>
      <c r="E8" s="10" t="s">
        <v>48</v>
      </c>
      <c r="F8" s="10" t="s">
        <v>48</v>
      </c>
      <c r="G8" s="10" t="s">
        <v>48</v>
      </c>
      <c r="H8" s="10" t="s">
        <v>48</v>
      </c>
      <c r="I8" s="10" t="s">
        <v>48</v>
      </c>
      <c r="J8" s="10" t="s">
        <v>48</v>
      </c>
      <c r="K8" s="11" t="s">
        <v>49</v>
      </c>
      <c r="L8" s="10" t="s">
        <v>48</v>
      </c>
      <c r="M8" s="10" t="s">
        <v>48</v>
      </c>
      <c r="N8" s="10" t="s">
        <v>48</v>
      </c>
      <c r="O8" s="10" t="s">
        <v>48</v>
      </c>
      <c r="P8" s="10" t="s">
        <v>48</v>
      </c>
      <c r="Q8" s="10" t="s">
        <v>48</v>
      </c>
      <c r="R8" s="11" t="s">
        <v>49</v>
      </c>
      <c r="S8" s="10" t="s">
        <v>48</v>
      </c>
      <c r="T8" s="10" t="s">
        <v>48</v>
      </c>
      <c r="U8" s="10" t="s">
        <v>48</v>
      </c>
      <c r="V8" s="10" t="s">
        <v>48</v>
      </c>
      <c r="W8" s="10" t="s">
        <v>48</v>
      </c>
      <c r="X8" s="10" t="s">
        <v>48</v>
      </c>
      <c r="Y8" s="11" t="s">
        <v>49</v>
      </c>
      <c r="Z8" s="10" t="s">
        <v>48</v>
      </c>
      <c r="AA8" s="10" t="s">
        <v>48</v>
      </c>
      <c r="AB8" s="10" t="s">
        <v>48</v>
      </c>
      <c r="AC8" s="10" t="s">
        <v>48</v>
      </c>
      <c r="AD8" s="10" t="s">
        <v>48</v>
      </c>
      <c r="AE8" s="10" t="s">
        <v>48</v>
      </c>
      <c r="AF8" s="11" t="s">
        <v>49</v>
      </c>
      <c r="AG8" s="10" t="s">
        <v>48</v>
      </c>
      <c r="AH8" s="10" t="s">
        <v>48</v>
      </c>
      <c r="AI8" s="10" t="s">
        <v>48</v>
      </c>
      <c r="AJ8" s="7">
        <f>COUNTIF(E8:AI8, "ح")</f>
      </c>
      <c r="AK8" s="7">
        <f>COUNTIF(E8:AI8, "غ")</f>
      </c>
      <c r="AL8" s="7">
        <f>COUNTIF(E8:AI8, "ج")</f>
      </c>
      <c r="AM8" s="7">
        <f>COUNTIF(E8:AI8, "خ")</f>
      </c>
      <c r="AN8" s="13" t="s">
        <v>50</v>
      </c>
    </row>
    <row r="9" ht="20" customHeight="1" spans="1:40" x14ac:dyDescent="0.25">
      <c r="A9" s="4">
        <v>5</v>
      </c>
      <c r="B9" s="4" t="s">
        <v>62</v>
      </c>
      <c r="C9" s="4" t="s">
        <v>63</v>
      </c>
      <c r="D9" s="4" t="s">
        <v>64</v>
      </c>
      <c r="E9" s="5" t="s">
        <v>48</v>
      </c>
      <c r="F9" s="5" t="s">
        <v>48</v>
      </c>
      <c r="G9" s="5" t="s">
        <v>48</v>
      </c>
      <c r="H9" s="5" t="s">
        <v>48</v>
      </c>
      <c r="I9" s="5" t="s">
        <v>48</v>
      </c>
      <c r="J9" s="5" t="s">
        <v>48</v>
      </c>
      <c r="K9" s="6" t="s">
        <v>49</v>
      </c>
      <c r="L9" s="5" t="s">
        <v>48</v>
      </c>
      <c r="M9" s="5" t="s">
        <v>48</v>
      </c>
      <c r="N9" s="5" t="s">
        <v>48</v>
      </c>
      <c r="O9" s="5" t="s">
        <v>48</v>
      </c>
      <c r="P9" s="5" t="s">
        <v>48</v>
      </c>
      <c r="Q9" s="5" t="s">
        <v>48</v>
      </c>
      <c r="R9" s="6" t="s">
        <v>49</v>
      </c>
      <c r="S9" s="5" t="s">
        <v>48</v>
      </c>
      <c r="T9" s="5" t="s">
        <v>48</v>
      </c>
      <c r="U9" s="5" t="s">
        <v>48</v>
      </c>
      <c r="V9" s="5" t="s">
        <v>48</v>
      </c>
      <c r="W9" s="5" t="s">
        <v>48</v>
      </c>
      <c r="X9" s="5" t="s">
        <v>48</v>
      </c>
      <c r="Y9" s="6" t="s">
        <v>49</v>
      </c>
      <c r="Z9" s="5" t="s">
        <v>48</v>
      </c>
      <c r="AA9" s="5" t="s">
        <v>48</v>
      </c>
      <c r="AB9" s="5" t="s">
        <v>48</v>
      </c>
      <c r="AC9" s="5" t="s">
        <v>48</v>
      </c>
      <c r="AD9" s="5" t="s">
        <v>48</v>
      </c>
      <c r="AE9" s="5" t="s">
        <v>48</v>
      </c>
      <c r="AF9" s="6" t="s">
        <v>49</v>
      </c>
      <c r="AG9" s="5" t="s">
        <v>48</v>
      </c>
      <c r="AH9" s="5" t="s">
        <v>48</v>
      </c>
      <c r="AI9" s="5" t="s">
        <v>48</v>
      </c>
      <c r="AJ9" s="7">
        <f>COUNTIF(E9:AI9, "ح")</f>
      </c>
      <c r="AK9" s="7">
        <f>COUNTIF(E9:AI9, "غ")</f>
      </c>
      <c r="AL9" s="7">
        <f>COUNTIF(E9:AI9, "ج")</f>
      </c>
      <c r="AM9" s="7">
        <f>COUNTIF(E9:AI9, "خ")</f>
      </c>
      <c r="AN9" s="8" t="s">
        <v>50</v>
      </c>
    </row>
    <row r="10" ht="20" customHeight="1" spans="1:40" x14ac:dyDescent="0.25">
      <c r="A10" s="9">
        <v>6</v>
      </c>
      <c r="B10" s="9" t="s">
        <v>65</v>
      </c>
      <c r="C10" s="9" t="s">
        <v>66</v>
      </c>
      <c r="D10" s="9" t="s">
        <v>67</v>
      </c>
      <c r="E10" s="10" t="s">
        <v>48</v>
      </c>
      <c r="F10" s="10" t="s">
        <v>48</v>
      </c>
      <c r="G10" s="10" t="s">
        <v>48</v>
      </c>
      <c r="H10" s="10" t="s">
        <v>48</v>
      </c>
      <c r="I10" s="10" t="s">
        <v>48</v>
      </c>
      <c r="J10" s="10" t="s">
        <v>48</v>
      </c>
      <c r="K10" s="11" t="s">
        <v>49</v>
      </c>
      <c r="L10" s="10" t="s">
        <v>48</v>
      </c>
      <c r="M10" s="10" t="s">
        <v>48</v>
      </c>
      <c r="N10" s="10" t="s">
        <v>48</v>
      </c>
      <c r="O10" s="10" t="s">
        <v>48</v>
      </c>
      <c r="P10" s="10" t="s">
        <v>48</v>
      </c>
      <c r="Q10" s="10" t="s">
        <v>48</v>
      </c>
      <c r="R10" s="11" t="s">
        <v>49</v>
      </c>
      <c r="S10" s="10" t="s">
        <v>48</v>
      </c>
      <c r="T10" s="10" t="s">
        <v>48</v>
      </c>
      <c r="U10" s="10" t="s">
        <v>48</v>
      </c>
      <c r="V10" s="10" t="s">
        <v>48</v>
      </c>
      <c r="W10" s="10" t="s">
        <v>48</v>
      </c>
      <c r="X10" s="10" t="s">
        <v>48</v>
      </c>
      <c r="Y10" s="11" t="s">
        <v>49</v>
      </c>
      <c r="Z10" s="12" t="s">
        <v>54</v>
      </c>
      <c r="AA10" s="10" t="s">
        <v>48</v>
      </c>
      <c r="AB10" s="10" t="s">
        <v>48</v>
      </c>
      <c r="AC10" s="10" t="s">
        <v>48</v>
      </c>
      <c r="AD10" s="10" t="s">
        <v>48</v>
      </c>
      <c r="AE10" s="10" t="s">
        <v>48</v>
      </c>
      <c r="AF10" s="11" t="s">
        <v>49</v>
      </c>
      <c r="AG10" s="10" t="s">
        <v>48</v>
      </c>
      <c r="AH10" s="10" t="s">
        <v>48</v>
      </c>
      <c r="AI10" s="10" t="s">
        <v>48</v>
      </c>
      <c r="AJ10" s="7">
        <f>COUNTIF(E10:AI10, "ح")</f>
      </c>
      <c r="AK10" s="7">
        <f>COUNTIF(E10:AI10, "غ")</f>
      </c>
      <c r="AL10" s="7">
        <f>COUNTIF(E10:AI10, "ج")</f>
      </c>
      <c r="AM10" s="7">
        <f>COUNTIF(E10:AI10, "خ")</f>
      </c>
      <c r="AN10" s="13" t="s">
        <v>50</v>
      </c>
    </row>
    <row r="11" ht="20" customHeight="1" spans="1:40" x14ac:dyDescent="0.25">
      <c r="A11" s="4">
        <v>7</v>
      </c>
      <c r="B11" s="4" t="s">
        <v>68</v>
      </c>
      <c r="C11" s="4" t="s">
        <v>69</v>
      </c>
      <c r="D11" s="4" t="s">
        <v>70</v>
      </c>
      <c r="E11" s="5" t="s">
        <v>48</v>
      </c>
      <c r="F11" s="5" t="s">
        <v>48</v>
      </c>
      <c r="G11" s="5" t="s">
        <v>48</v>
      </c>
      <c r="H11" s="5" t="s">
        <v>48</v>
      </c>
      <c r="I11" s="5" t="s">
        <v>48</v>
      </c>
      <c r="J11" s="5" t="s">
        <v>48</v>
      </c>
      <c r="K11" s="6" t="s">
        <v>49</v>
      </c>
      <c r="L11" s="5" t="s">
        <v>48</v>
      </c>
      <c r="M11" s="5" t="s">
        <v>48</v>
      </c>
      <c r="N11" s="5" t="s">
        <v>48</v>
      </c>
      <c r="O11" s="5" t="s">
        <v>48</v>
      </c>
      <c r="P11" s="5" t="s">
        <v>48</v>
      </c>
      <c r="Q11" s="5" t="s">
        <v>48</v>
      </c>
      <c r="R11" s="6" t="s">
        <v>49</v>
      </c>
      <c r="S11" s="5" t="s">
        <v>48</v>
      </c>
      <c r="T11" s="5" t="s">
        <v>48</v>
      </c>
      <c r="U11" s="5" t="s">
        <v>48</v>
      </c>
      <c r="V11" s="5" t="s">
        <v>48</v>
      </c>
      <c r="W11" s="5" t="s">
        <v>48</v>
      </c>
      <c r="X11" s="5" t="s">
        <v>48</v>
      </c>
      <c r="Y11" s="6" t="s">
        <v>49</v>
      </c>
      <c r="Z11" s="5" t="s">
        <v>48</v>
      </c>
      <c r="AA11" s="5" t="s">
        <v>48</v>
      </c>
      <c r="AB11" s="5" t="s">
        <v>48</v>
      </c>
      <c r="AC11" s="5" t="s">
        <v>48</v>
      </c>
      <c r="AD11" s="5" t="s">
        <v>48</v>
      </c>
      <c r="AE11" s="5" t="s">
        <v>48</v>
      </c>
      <c r="AF11" s="6" t="s">
        <v>49</v>
      </c>
      <c r="AG11" s="5" t="s">
        <v>48</v>
      </c>
      <c r="AH11" s="5" t="s">
        <v>48</v>
      </c>
      <c r="AI11" s="5" t="s">
        <v>48</v>
      </c>
      <c r="AJ11" s="7">
        <f>COUNTIF(E11:AI11, "ح")</f>
      </c>
      <c r="AK11" s="7">
        <f>COUNTIF(E11:AI11, "غ")</f>
      </c>
      <c r="AL11" s="7">
        <f>COUNTIF(E11:AI11, "ج")</f>
      </c>
      <c r="AM11" s="7">
        <f>COUNTIF(E11:AI11, "خ")</f>
      </c>
      <c r="AN11" s="8" t="s">
        <v>50</v>
      </c>
    </row>
    <row r="12" ht="20" customHeight="1" spans="1:40" x14ac:dyDescent="0.25">
      <c r="A12" s="9">
        <v>8</v>
      </c>
      <c r="B12" s="9" t="s">
        <v>71</v>
      </c>
      <c r="C12" s="9" t="s">
        <v>72</v>
      </c>
      <c r="D12" s="9" t="s">
        <v>73</v>
      </c>
      <c r="E12" s="10" t="s">
        <v>48</v>
      </c>
      <c r="F12" s="10" t="s">
        <v>48</v>
      </c>
      <c r="G12" s="10" t="s">
        <v>48</v>
      </c>
      <c r="H12" s="10" t="s">
        <v>48</v>
      </c>
      <c r="I12" s="10" t="s">
        <v>48</v>
      </c>
      <c r="J12" s="10" t="s">
        <v>48</v>
      </c>
      <c r="K12" s="11" t="s">
        <v>49</v>
      </c>
      <c r="L12" s="10" t="s">
        <v>48</v>
      </c>
      <c r="M12" s="10" t="s">
        <v>48</v>
      </c>
      <c r="N12" s="10" t="s">
        <v>48</v>
      </c>
      <c r="O12" s="10" t="s">
        <v>48</v>
      </c>
      <c r="P12" s="10" t="s">
        <v>48</v>
      </c>
      <c r="Q12" s="10" t="s">
        <v>48</v>
      </c>
      <c r="R12" s="11" t="s">
        <v>49</v>
      </c>
      <c r="S12" s="14" t="s">
        <v>58</v>
      </c>
      <c r="T12" s="10" t="s">
        <v>48</v>
      </c>
      <c r="U12" s="10" t="s">
        <v>48</v>
      </c>
      <c r="V12" s="10" t="s">
        <v>48</v>
      </c>
      <c r="W12" s="10" t="s">
        <v>48</v>
      </c>
      <c r="X12" s="10" t="s">
        <v>48</v>
      </c>
      <c r="Y12" s="11" t="s">
        <v>49</v>
      </c>
      <c r="Z12" s="10" t="s">
        <v>48</v>
      </c>
      <c r="AA12" s="10" t="s">
        <v>48</v>
      </c>
      <c r="AB12" s="10" t="s">
        <v>48</v>
      </c>
      <c r="AC12" s="10" t="s">
        <v>48</v>
      </c>
      <c r="AD12" s="10" t="s">
        <v>48</v>
      </c>
      <c r="AE12" s="10" t="s">
        <v>48</v>
      </c>
      <c r="AF12" s="11" t="s">
        <v>49</v>
      </c>
      <c r="AG12" s="10" t="s">
        <v>48</v>
      </c>
      <c r="AH12" s="10" t="s">
        <v>48</v>
      </c>
      <c r="AI12" s="10" t="s">
        <v>48</v>
      </c>
      <c r="AJ12" s="7">
        <f>COUNTIF(E12:AI12, "ح")</f>
      </c>
      <c r="AK12" s="7">
        <f>COUNTIF(E12:AI12, "غ")</f>
      </c>
      <c r="AL12" s="7">
        <f>COUNTIF(E12:AI12, "ج")</f>
      </c>
      <c r="AM12" s="7">
        <f>COUNTIF(E12:AI12, "خ")</f>
      </c>
      <c r="AN12" s="13" t="s">
        <v>50</v>
      </c>
    </row>
    <row r="13" ht="20" customHeight="1" spans="1:40" x14ac:dyDescent="0.25">
      <c r="A13" s="4">
        <v>9</v>
      </c>
      <c r="B13" s="4" t="s">
        <v>74</v>
      </c>
      <c r="C13" s="4" t="s">
        <v>75</v>
      </c>
      <c r="D13" s="4" t="s">
        <v>76</v>
      </c>
      <c r="E13" s="5" t="s">
        <v>48</v>
      </c>
      <c r="F13" s="5" t="s">
        <v>48</v>
      </c>
      <c r="G13" s="5" t="s">
        <v>48</v>
      </c>
      <c r="H13" s="5" t="s">
        <v>48</v>
      </c>
      <c r="I13" s="5" t="s">
        <v>48</v>
      </c>
      <c r="J13" s="5" t="s">
        <v>48</v>
      </c>
      <c r="K13" s="6" t="s">
        <v>49</v>
      </c>
      <c r="L13" s="5" t="s">
        <v>48</v>
      </c>
      <c r="M13" s="5" t="s">
        <v>48</v>
      </c>
      <c r="N13" s="5" t="s">
        <v>48</v>
      </c>
      <c r="O13" s="5" t="s">
        <v>48</v>
      </c>
      <c r="P13" s="5" t="s">
        <v>48</v>
      </c>
      <c r="Q13" s="5" t="s">
        <v>48</v>
      </c>
      <c r="R13" s="6" t="s">
        <v>49</v>
      </c>
      <c r="S13" s="5" t="s">
        <v>48</v>
      </c>
      <c r="T13" s="5" t="s">
        <v>48</v>
      </c>
      <c r="U13" s="5" t="s">
        <v>48</v>
      </c>
      <c r="V13" s="5" t="s">
        <v>48</v>
      </c>
      <c r="W13" s="5" t="s">
        <v>48</v>
      </c>
      <c r="X13" s="5" t="s">
        <v>48</v>
      </c>
      <c r="Y13" s="6" t="s">
        <v>49</v>
      </c>
      <c r="Z13" s="5" t="s">
        <v>48</v>
      </c>
      <c r="AA13" s="5" t="s">
        <v>48</v>
      </c>
      <c r="AB13" s="5" t="s">
        <v>48</v>
      </c>
      <c r="AC13" s="5" t="s">
        <v>48</v>
      </c>
      <c r="AD13" s="5" t="s">
        <v>48</v>
      </c>
      <c r="AE13" s="5" t="s">
        <v>48</v>
      </c>
      <c r="AF13" s="6" t="s">
        <v>49</v>
      </c>
      <c r="AG13" s="5" t="s">
        <v>48</v>
      </c>
      <c r="AH13" s="5" t="s">
        <v>48</v>
      </c>
      <c r="AI13" s="5" t="s">
        <v>48</v>
      </c>
      <c r="AJ13" s="7">
        <f>COUNTIF(E13:AI13, "ح")</f>
      </c>
      <c r="AK13" s="7">
        <f>COUNTIF(E13:AI13, "غ")</f>
      </c>
      <c r="AL13" s="7">
        <f>COUNTIF(E13:AI13, "ج")</f>
      </c>
      <c r="AM13" s="7">
        <f>COUNTIF(E13:AI13, "خ")</f>
      </c>
      <c r="AN13" s="8" t="s">
        <v>50</v>
      </c>
    </row>
    <row r="14" ht="20" customHeight="1" spans="1:40" x14ac:dyDescent="0.25">
      <c r="A14" s="9">
        <v>10</v>
      </c>
      <c r="B14" s="9" t="s">
        <v>77</v>
      </c>
      <c r="C14" s="9" t="s">
        <v>78</v>
      </c>
      <c r="D14" s="9" t="s">
        <v>76</v>
      </c>
      <c r="E14" s="10" t="s">
        <v>48</v>
      </c>
      <c r="F14" s="10" t="s">
        <v>48</v>
      </c>
      <c r="G14" s="10" t="s">
        <v>48</v>
      </c>
      <c r="H14" s="10" t="s">
        <v>48</v>
      </c>
      <c r="I14" s="10" t="s">
        <v>48</v>
      </c>
      <c r="J14" s="10" t="s">
        <v>48</v>
      </c>
      <c r="K14" s="11" t="s">
        <v>49</v>
      </c>
      <c r="L14" s="10" t="s">
        <v>48</v>
      </c>
      <c r="M14" s="10" t="s">
        <v>48</v>
      </c>
      <c r="N14" s="10" t="s">
        <v>48</v>
      </c>
      <c r="O14" s="10" t="s">
        <v>48</v>
      </c>
      <c r="P14" s="10" t="s">
        <v>48</v>
      </c>
      <c r="Q14" s="10" t="s">
        <v>48</v>
      </c>
      <c r="R14" s="11" t="s">
        <v>49</v>
      </c>
      <c r="S14" s="10" t="s">
        <v>48</v>
      </c>
      <c r="T14" s="10" t="s">
        <v>48</v>
      </c>
      <c r="U14" s="10" t="s">
        <v>48</v>
      </c>
      <c r="V14" s="10" t="s">
        <v>48</v>
      </c>
      <c r="W14" s="10" t="s">
        <v>48</v>
      </c>
      <c r="X14" s="10" t="s">
        <v>48</v>
      </c>
      <c r="Y14" s="11" t="s">
        <v>49</v>
      </c>
      <c r="Z14" s="12" t="s">
        <v>54</v>
      </c>
      <c r="AA14" s="10" t="s">
        <v>48</v>
      </c>
      <c r="AB14" s="10" t="s">
        <v>48</v>
      </c>
      <c r="AC14" s="10" t="s">
        <v>48</v>
      </c>
      <c r="AD14" s="10" t="s">
        <v>48</v>
      </c>
      <c r="AE14" s="10" t="s">
        <v>48</v>
      </c>
      <c r="AF14" s="11" t="s">
        <v>49</v>
      </c>
      <c r="AG14" s="10" t="s">
        <v>48</v>
      </c>
      <c r="AH14" s="10" t="s">
        <v>48</v>
      </c>
      <c r="AI14" s="10" t="s">
        <v>48</v>
      </c>
      <c r="AJ14" s="7">
        <f>COUNTIF(E14:AI14, "ح")</f>
      </c>
      <c r="AK14" s="7">
        <f>COUNTIF(E14:AI14, "غ")</f>
      </c>
      <c r="AL14" s="7">
        <f>COUNTIF(E14:AI14, "ج")</f>
      </c>
      <c r="AM14" s="7">
        <f>COUNTIF(E14:AI14, "خ")</f>
      </c>
      <c r="AN14" s="13" t="s">
        <v>50</v>
      </c>
    </row>
    <row r="15" ht="20" customHeight="1" spans="1:40" x14ac:dyDescent="0.25">
      <c r="A15" s="4">
        <v>11</v>
      </c>
      <c r="B15" s="4" t="s">
        <v>79</v>
      </c>
      <c r="C15" s="4" t="s">
        <v>80</v>
      </c>
      <c r="D15" s="4" t="s">
        <v>76</v>
      </c>
      <c r="E15" s="5" t="s">
        <v>48</v>
      </c>
      <c r="F15" s="5" t="s">
        <v>48</v>
      </c>
      <c r="G15" s="5" t="s">
        <v>48</v>
      </c>
      <c r="H15" s="5" t="s">
        <v>48</v>
      </c>
      <c r="I15" s="5" t="s">
        <v>48</v>
      </c>
      <c r="J15" s="5" t="s">
        <v>48</v>
      </c>
      <c r="K15" s="6" t="s">
        <v>49</v>
      </c>
      <c r="L15" s="5" t="s">
        <v>48</v>
      </c>
      <c r="M15" s="5" t="s">
        <v>48</v>
      </c>
      <c r="N15" s="5" t="s">
        <v>48</v>
      </c>
      <c r="O15" s="5" t="s">
        <v>48</v>
      </c>
      <c r="P15" s="5" t="s">
        <v>48</v>
      </c>
      <c r="Q15" s="5" t="s">
        <v>48</v>
      </c>
      <c r="R15" s="6" t="s">
        <v>49</v>
      </c>
      <c r="S15" s="5" t="s">
        <v>48</v>
      </c>
      <c r="T15" s="5" t="s">
        <v>48</v>
      </c>
      <c r="U15" s="5" t="s">
        <v>48</v>
      </c>
      <c r="V15" s="5" t="s">
        <v>48</v>
      </c>
      <c r="W15" s="5" t="s">
        <v>48</v>
      </c>
      <c r="X15" s="5" t="s">
        <v>48</v>
      </c>
      <c r="Y15" s="6" t="s">
        <v>49</v>
      </c>
      <c r="Z15" s="5" t="s">
        <v>48</v>
      </c>
      <c r="AA15" s="5" t="s">
        <v>48</v>
      </c>
      <c r="AB15" s="5" t="s">
        <v>48</v>
      </c>
      <c r="AC15" s="5" t="s">
        <v>48</v>
      </c>
      <c r="AD15" s="5" t="s">
        <v>48</v>
      </c>
      <c r="AE15" s="5" t="s">
        <v>48</v>
      </c>
      <c r="AF15" s="6" t="s">
        <v>49</v>
      </c>
      <c r="AG15" s="5" t="s">
        <v>48</v>
      </c>
      <c r="AH15" s="5" t="s">
        <v>48</v>
      </c>
      <c r="AI15" s="5" t="s">
        <v>48</v>
      </c>
      <c r="AJ15" s="7">
        <f>COUNTIF(E15:AI15, "ح")</f>
      </c>
      <c r="AK15" s="7">
        <f>COUNTIF(E15:AI15, "غ")</f>
      </c>
      <c r="AL15" s="7">
        <f>COUNTIF(E15:AI15, "ج")</f>
      </c>
      <c r="AM15" s="7">
        <f>COUNTIF(E15:AI15, "خ")</f>
      </c>
      <c r="AN15" s="8" t="s">
        <v>50</v>
      </c>
    </row>
    <row r="16" ht="20" customHeight="1" spans="1:40" x14ac:dyDescent="0.25">
      <c r="A16" s="9">
        <v>12</v>
      </c>
      <c r="B16" s="9" t="s">
        <v>81</v>
      </c>
      <c r="C16" s="9" t="s">
        <v>82</v>
      </c>
      <c r="D16" s="9" t="s">
        <v>76</v>
      </c>
      <c r="E16" s="10" t="s">
        <v>48</v>
      </c>
      <c r="F16" s="10" t="s">
        <v>48</v>
      </c>
      <c r="G16" s="10" t="s">
        <v>48</v>
      </c>
      <c r="H16" s="10" t="s">
        <v>48</v>
      </c>
      <c r="I16" s="10" t="s">
        <v>48</v>
      </c>
      <c r="J16" s="10" t="s">
        <v>48</v>
      </c>
      <c r="K16" s="11" t="s">
        <v>49</v>
      </c>
      <c r="L16" s="10" t="s">
        <v>48</v>
      </c>
      <c r="M16" s="10" t="s">
        <v>48</v>
      </c>
      <c r="N16" s="10" t="s">
        <v>48</v>
      </c>
      <c r="O16" s="10" t="s">
        <v>48</v>
      </c>
      <c r="P16" s="10" t="s">
        <v>48</v>
      </c>
      <c r="Q16" s="10" t="s">
        <v>48</v>
      </c>
      <c r="R16" s="11" t="s">
        <v>49</v>
      </c>
      <c r="S16" s="10" t="s">
        <v>48</v>
      </c>
      <c r="T16" s="10" t="s">
        <v>48</v>
      </c>
      <c r="U16" s="10" t="s">
        <v>48</v>
      </c>
      <c r="V16" s="10" t="s">
        <v>48</v>
      </c>
      <c r="W16" s="10" t="s">
        <v>48</v>
      </c>
      <c r="X16" s="10" t="s">
        <v>48</v>
      </c>
      <c r="Y16" s="11" t="s">
        <v>49</v>
      </c>
      <c r="Z16" s="10" t="s">
        <v>48</v>
      </c>
      <c r="AA16" s="10" t="s">
        <v>48</v>
      </c>
      <c r="AB16" s="10" t="s">
        <v>48</v>
      </c>
      <c r="AC16" s="10" t="s">
        <v>48</v>
      </c>
      <c r="AD16" s="10" t="s">
        <v>48</v>
      </c>
      <c r="AE16" s="10" t="s">
        <v>48</v>
      </c>
      <c r="AF16" s="11" t="s">
        <v>49</v>
      </c>
      <c r="AG16" s="10" t="s">
        <v>48</v>
      </c>
      <c r="AH16" s="10" t="s">
        <v>48</v>
      </c>
      <c r="AI16" s="10" t="s">
        <v>48</v>
      </c>
      <c r="AJ16" s="7">
        <f>COUNTIF(E16:AI16, "ح")</f>
      </c>
      <c r="AK16" s="7">
        <f>COUNTIF(E16:AI16, "غ")</f>
      </c>
      <c r="AL16" s="7">
        <f>COUNTIF(E16:AI16, "ج")</f>
      </c>
      <c r="AM16" s="7">
        <f>COUNTIF(E16:AI16, "خ")</f>
      </c>
      <c r="AN16" s="13" t="s">
        <v>50</v>
      </c>
    </row>
    <row r="17" ht="20" customHeight="1" spans="1:40" x14ac:dyDescent="0.25">
      <c r="A17" s="4">
        <v>13</v>
      </c>
      <c r="B17" s="4" t="s">
        <v>83</v>
      </c>
      <c r="C17" s="4" t="s">
        <v>84</v>
      </c>
      <c r="D17" s="4" t="s">
        <v>85</v>
      </c>
      <c r="E17" s="5" t="s">
        <v>48</v>
      </c>
      <c r="F17" s="5" t="s">
        <v>48</v>
      </c>
      <c r="G17" s="5" t="s">
        <v>48</v>
      </c>
      <c r="H17" s="5" t="s">
        <v>48</v>
      </c>
      <c r="I17" s="5" t="s">
        <v>48</v>
      </c>
      <c r="J17" s="5" t="s">
        <v>48</v>
      </c>
      <c r="K17" s="6" t="s">
        <v>49</v>
      </c>
      <c r="L17" s="5" t="s">
        <v>48</v>
      </c>
      <c r="M17" s="5" t="s">
        <v>48</v>
      </c>
      <c r="N17" s="5" t="s">
        <v>48</v>
      </c>
      <c r="O17" s="5" t="s">
        <v>48</v>
      </c>
      <c r="P17" s="5" t="s">
        <v>48</v>
      </c>
      <c r="Q17" s="5" t="s">
        <v>48</v>
      </c>
      <c r="R17" s="6" t="s">
        <v>49</v>
      </c>
      <c r="S17" s="14" t="s">
        <v>58</v>
      </c>
      <c r="T17" s="5" t="s">
        <v>48</v>
      </c>
      <c r="U17" s="5" t="s">
        <v>48</v>
      </c>
      <c r="V17" s="5" t="s">
        <v>48</v>
      </c>
      <c r="W17" s="5" t="s">
        <v>48</v>
      </c>
      <c r="X17" s="5" t="s">
        <v>48</v>
      </c>
      <c r="Y17" s="6" t="s">
        <v>49</v>
      </c>
      <c r="Z17" s="5" t="s">
        <v>48</v>
      </c>
      <c r="AA17" s="5" t="s">
        <v>48</v>
      </c>
      <c r="AB17" s="5" t="s">
        <v>48</v>
      </c>
      <c r="AC17" s="5" t="s">
        <v>48</v>
      </c>
      <c r="AD17" s="5" t="s">
        <v>48</v>
      </c>
      <c r="AE17" s="5" t="s">
        <v>48</v>
      </c>
      <c r="AF17" s="6" t="s">
        <v>49</v>
      </c>
      <c r="AG17" s="5" t="s">
        <v>48</v>
      </c>
      <c r="AH17" s="5" t="s">
        <v>48</v>
      </c>
      <c r="AI17" s="5" t="s">
        <v>48</v>
      </c>
      <c r="AJ17" s="7">
        <f>COUNTIF(E17:AI17, "ح")</f>
      </c>
      <c r="AK17" s="7">
        <f>COUNTIF(E17:AI17, "غ")</f>
      </c>
      <c r="AL17" s="7">
        <f>COUNTIF(E17:AI17, "ج")</f>
      </c>
      <c r="AM17" s="7">
        <f>COUNTIF(E17:AI17, "خ")</f>
      </c>
      <c r="AN17" s="8" t="s">
        <v>50</v>
      </c>
    </row>
    <row r="18" ht="20" customHeight="1" spans="1:40" x14ac:dyDescent="0.25">
      <c r="A18" s="9">
        <v>14</v>
      </c>
      <c r="B18" s="9" t="s">
        <v>86</v>
      </c>
      <c r="C18" s="9" t="s">
        <v>87</v>
      </c>
      <c r="D18" s="9" t="s">
        <v>88</v>
      </c>
      <c r="E18" s="10" t="s">
        <v>48</v>
      </c>
      <c r="F18" s="10" t="s">
        <v>48</v>
      </c>
      <c r="G18" s="10" t="s">
        <v>48</v>
      </c>
      <c r="H18" s="10" t="s">
        <v>48</v>
      </c>
      <c r="I18" s="10" t="s">
        <v>48</v>
      </c>
      <c r="J18" s="10" t="s">
        <v>48</v>
      </c>
      <c r="K18" s="11" t="s">
        <v>49</v>
      </c>
      <c r="L18" s="10" t="s">
        <v>48</v>
      </c>
      <c r="M18" s="10" t="s">
        <v>48</v>
      </c>
      <c r="N18" s="10" t="s">
        <v>48</v>
      </c>
      <c r="O18" s="10" t="s">
        <v>48</v>
      </c>
      <c r="P18" s="10" t="s">
        <v>48</v>
      </c>
      <c r="Q18" s="10" t="s">
        <v>48</v>
      </c>
      <c r="R18" s="11" t="s">
        <v>49</v>
      </c>
      <c r="S18" s="10" t="s">
        <v>48</v>
      </c>
      <c r="T18" s="10" t="s">
        <v>48</v>
      </c>
      <c r="U18" s="10" t="s">
        <v>48</v>
      </c>
      <c r="V18" s="10" t="s">
        <v>48</v>
      </c>
      <c r="W18" s="10" t="s">
        <v>48</v>
      </c>
      <c r="X18" s="10" t="s">
        <v>48</v>
      </c>
      <c r="Y18" s="11" t="s">
        <v>49</v>
      </c>
      <c r="Z18" s="12" t="s">
        <v>54</v>
      </c>
      <c r="AA18" s="10" t="s">
        <v>48</v>
      </c>
      <c r="AB18" s="10" t="s">
        <v>48</v>
      </c>
      <c r="AC18" s="10" t="s">
        <v>48</v>
      </c>
      <c r="AD18" s="10" t="s">
        <v>48</v>
      </c>
      <c r="AE18" s="10" t="s">
        <v>48</v>
      </c>
      <c r="AF18" s="11" t="s">
        <v>49</v>
      </c>
      <c r="AG18" s="10" t="s">
        <v>48</v>
      </c>
      <c r="AH18" s="10" t="s">
        <v>48</v>
      </c>
      <c r="AI18" s="10" t="s">
        <v>48</v>
      </c>
      <c r="AJ18" s="7">
        <f>COUNTIF(E18:AI18, "ح")</f>
      </c>
      <c r="AK18" s="7">
        <f>COUNTIF(E18:AI18, "غ")</f>
      </c>
      <c r="AL18" s="7">
        <f>COUNTIF(E18:AI18, "ج")</f>
      </c>
      <c r="AM18" s="7">
        <f>COUNTIF(E18:AI18, "خ")</f>
      </c>
      <c r="AN18" s="13" t="s">
        <v>50</v>
      </c>
    </row>
    <row r="19" ht="20" customHeight="1" spans="1:40" x14ac:dyDescent="0.25">
      <c r="A19" s="4">
        <v>15</v>
      </c>
      <c r="B19" s="4" t="s">
        <v>89</v>
      </c>
      <c r="C19" s="4" t="s">
        <v>90</v>
      </c>
      <c r="D19" s="4" t="s">
        <v>91</v>
      </c>
      <c r="E19" s="5" t="s">
        <v>48</v>
      </c>
      <c r="F19" s="5" t="s">
        <v>48</v>
      </c>
      <c r="G19" s="5" t="s">
        <v>48</v>
      </c>
      <c r="H19" s="5" t="s">
        <v>48</v>
      </c>
      <c r="I19" s="5" t="s">
        <v>48</v>
      </c>
      <c r="J19" s="5" t="s">
        <v>48</v>
      </c>
      <c r="K19" s="6" t="s">
        <v>49</v>
      </c>
      <c r="L19" s="5" t="s">
        <v>48</v>
      </c>
      <c r="M19" s="5" t="s">
        <v>48</v>
      </c>
      <c r="N19" s="5" t="s">
        <v>48</v>
      </c>
      <c r="O19" s="5" t="s">
        <v>48</v>
      </c>
      <c r="P19" s="5" t="s">
        <v>48</v>
      </c>
      <c r="Q19" s="5" t="s">
        <v>48</v>
      </c>
      <c r="R19" s="6" t="s">
        <v>49</v>
      </c>
      <c r="S19" s="5" t="s">
        <v>48</v>
      </c>
      <c r="T19" s="5" t="s">
        <v>48</v>
      </c>
      <c r="U19" s="5" t="s">
        <v>48</v>
      </c>
      <c r="V19" s="5" t="s">
        <v>48</v>
      </c>
      <c r="W19" s="5" t="s">
        <v>48</v>
      </c>
      <c r="X19" s="5" t="s">
        <v>48</v>
      </c>
      <c r="Y19" s="6" t="s">
        <v>49</v>
      </c>
      <c r="Z19" s="5" t="s">
        <v>48</v>
      </c>
      <c r="AA19" s="5" t="s">
        <v>48</v>
      </c>
      <c r="AB19" s="5" t="s">
        <v>48</v>
      </c>
      <c r="AC19" s="5" t="s">
        <v>48</v>
      </c>
      <c r="AD19" s="5" t="s">
        <v>48</v>
      </c>
      <c r="AE19" s="5" t="s">
        <v>48</v>
      </c>
      <c r="AF19" s="6" t="s">
        <v>49</v>
      </c>
      <c r="AG19" s="5" t="s">
        <v>48</v>
      </c>
      <c r="AH19" s="5" t="s">
        <v>48</v>
      </c>
      <c r="AI19" s="5" t="s">
        <v>48</v>
      </c>
      <c r="AJ19" s="7">
        <f>COUNTIF(E19:AI19, "ح")</f>
      </c>
      <c r="AK19" s="7">
        <f>COUNTIF(E19:AI19, "غ")</f>
      </c>
      <c r="AL19" s="7">
        <f>COUNTIF(E19:AI19, "ج")</f>
      </c>
      <c r="AM19" s="7">
        <f>COUNTIF(E19:AI19, "خ")</f>
      </c>
      <c r="AN19" s="8" t="s">
        <v>50</v>
      </c>
    </row>
    <row r="20" ht="20" customHeight="1" spans="1:40" x14ac:dyDescent="0.25">
      <c r="A20" s="9">
        <v>16</v>
      </c>
      <c r="B20" s="9" t="s">
        <v>92</v>
      </c>
      <c r="C20" s="9" t="s">
        <v>93</v>
      </c>
      <c r="D20" s="9" t="s">
        <v>94</v>
      </c>
      <c r="E20" s="10" t="s">
        <v>48</v>
      </c>
      <c r="F20" s="10" t="s">
        <v>48</v>
      </c>
      <c r="G20" s="10" t="s">
        <v>48</v>
      </c>
      <c r="H20" s="10" t="s">
        <v>48</v>
      </c>
      <c r="I20" s="10" t="s">
        <v>48</v>
      </c>
      <c r="J20" s="10" t="s">
        <v>48</v>
      </c>
      <c r="K20" s="11" t="s">
        <v>49</v>
      </c>
      <c r="L20" s="10" t="s">
        <v>48</v>
      </c>
      <c r="M20" s="10" t="s">
        <v>48</v>
      </c>
      <c r="N20" s="10" t="s">
        <v>48</v>
      </c>
      <c r="O20" s="10" t="s">
        <v>48</v>
      </c>
      <c r="P20" s="10" t="s">
        <v>48</v>
      </c>
      <c r="Q20" s="10" t="s">
        <v>48</v>
      </c>
      <c r="R20" s="11" t="s">
        <v>49</v>
      </c>
      <c r="S20" s="10" t="s">
        <v>48</v>
      </c>
      <c r="T20" s="10" t="s">
        <v>48</v>
      </c>
      <c r="U20" s="10" t="s">
        <v>48</v>
      </c>
      <c r="V20" s="10" t="s">
        <v>48</v>
      </c>
      <c r="W20" s="10" t="s">
        <v>48</v>
      </c>
      <c r="X20" s="10" t="s">
        <v>48</v>
      </c>
      <c r="Y20" s="11" t="s">
        <v>49</v>
      </c>
      <c r="Z20" s="10" t="s">
        <v>48</v>
      </c>
      <c r="AA20" s="10" t="s">
        <v>48</v>
      </c>
      <c r="AB20" s="10" t="s">
        <v>48</v>
      </c>
      <c r="AC20" s="10" t="s">
        <v>48</v>
      </c>
      <c r="AD20" s="10" t="s">
        <v>48</v>
      </c>
      <c r="AE20" s="10" t="s">
        <v>48</v>
      </c>
      <c r="AF20" s="11" t="s">
        <v>49</v>
      </c>
      <c r="AG20" s="10" t="s">
        <v>48</v>
      </c>
      <c r="AH20" s="10" t="s">
        <v>48</v>
      </c>
      <c r="AI20" s="10" t="s">
        <v>48</v>
      </c>
      <c r="AJ20" s="7">
        <f>COUNTIF(E20:AI20, "ح")</f>
      </c>
      <c r="AK20" s="7">
        <f>COUNTIF(E20:AI20, "غ")</f>
      </c>
      <c r="AL20" s="7">
        <f>COUNTIF(E20:AI20, "ج")</f>
      </c>
      <c r="AM20" s="7">
        <f>COUNTIF(E20:AI20, "خ")</f>
      </c>
      <c r="AN20" s="13" t="s">
        <v>50</v>
      </c>
    </row>
    <row r="21" ht="20" customHeight="1" spans="1:40" x14ac:dyDescent="0.25">
      <c r="A21" s="4">
        <v>17</v>
      </c>
      <c r="B21" s="4" t="s">
        <v>95</v>
      </c>
      <c r="C21" s="4" t="s">
        <v>96</v>
      </c>
      <c r="D21" s="4" t="s">
        <v>97</v>
      </c>
      <c r="E21" s="5" t="s">
        <v>48</v>
      </c>
      <c r="F21" s="5" t="s">
        <v>48</v>
      </c>
      <c r="G21" s="5" t="s">
        <v>48</v>
      </c>
      <c r="H21" s="5" t="s">
        <v>48</v>
      </c>
      <c r="I21" s="5" t="s">
        <v>48</v>
      </c>
      <c r="J21" s="5" t="s">
        <v>48</v>
      </c>
      <c r="K21" s="6" t="s">
        <v>49</v>
      </c>
      <c r="L21" s="5" t="s">
        <v>48</v>
      </c>
      <c r="M21" s="5" t="s">
        <v>48</v>
      </c>
      <c r="N21" s="5" t="s">
        <v>48</v>
      </c>
      <c r="O21" s="5" t="s">
        <v>48</v>
      </c>
      <c r="P21" s="5" t="s">
        <v>48</v>
      </c>
      <c r="Q21" s="5" t="s">
        <v>48</v>
      </c>
      <c r="R21" s="6" t="s">
        <v>49</v>
      </c>
      <c r="S21" s="5" t="s">
        <v>48</v>
      </c>
      <c r="T21" s="5" t="s">
        <v>48</v>
      </c>
      <c r="U21" s="5" t="s">
        <v>48</v>
      </c>
      <c r="V21" s="5" t="s">
        <v>48</v>
      </c>
      <c r="W21" s="5" t="s">
        <v>48</v>
      </c>
      <c r="X21" s="5" t="s">
        <v>48</v>
      </c>
      <c r="Y21" s="6" t="s">
        <v>49</v>
      </c>
      <c r="Z21" s="5" t="s">
        <v>48</v>
      </c>
      <c r="AA21" s="5" t="s">
        <v>48</v>
      </c>
      <c r="AB21" s="5" t="s">
        <v>48</v>
      </c>
      <c r="AC21" s="5" t="s">
        <v>48</v>
      </c>
      <c r="AD21" s="5" t="s">
        <v>48</v>
      </c>
      <c r="AE21" s="5" t="s">
        <v>48</v>
      </c>
      <c r="AF21" s="6" t="s">
        <v>49</v>
      </c>
      <c r="AG21" s="5" t="s">
        <v>48</v>
      </c>
      <c r="AH21" s="5" t="s">
        <v>48</v>
      </c>
      <c r="AI21" s="5" t="s">
        <v>48</v>
      </c>
      <c r="AJ21" s="7">
        <f>COUNTIF(E21:AI21, "ح")</f>
      </c>
      <c r="AK21" s="7">
        <f>COUNTIF(E21:AI21, "غ")</f>
      </c>
      <c r="AL21" s="7">
        <f>COUNTIF(E21:AI21, "ج")</f>
      </c>
      <c r="AM21" s="7">
        <f>COUNTIF(E21:AI21, "خ")</f>
      </c>
      <c r="AN21" s="8" t="s">
        <v>50</v>
      </c>
    </row>
    <row r="22" ht="20" customHeight="1" spans="1:40" x14ac:dyDescent="0.25">
      <c r="A22" s="9">
        <v>18</v>
      </c>
      <c r="B22" s="9" t="s">
        <v>98</v>
      </c>
      <c r="C22" s="9" t="s">
        <v>99</v>
      </c>
      <c r="D22" s="9" t="s">
        <v>100</v>
      </c>
      <c r="E22" s="10" t="s">
        <v>48</v>
      </c>
      <c r="F22" s="10" t="s">
        <v>48</v>
      </c>
      <c r="G22" s="10" t="s">
        <v>48</v>
      </c>
      <c r="H22" s="10" t="s">
        <v>48</v>
      </c>
      <c r="I22" s="10" t="s">
        <v>48</v>
      </c>
      <c r="J22" s="10" t="s">
        <v>48</v>
      </c>
      <c r="K22" s="11" t="s">
        <v>49</v>
      </c>
      <c r="L22" s="10" t="s">
        <v>48</v>
      </c>
      <c r="M22" s="10" t="s">
        <v>48</v>
      </c>
      <c r="N22" s="10" t="s">
        <v>48</v>
      </c>
      <c r="O22" s="10" t="s">
        <v>48</v>
      </c>
      <c r="P22" s="10" t="s">
        <v>48</v>
      </c>
      <c r="Q22" s="10" t="s">
        <v>48</v>
      </c>
      <c r="R22" s="11" t="s">
        <v>49</v>
      </c>
      <c r="S22" s="14" t="s">
        <v>58</v>
      </c>
      <c r="T22" s="10" t="s">
        <v>48</v>
      </c>
      <c r="U22" s="10" t="s">
        <v>48</v>
      </c>
      <c r="V22" s="10" t="s">
        <v>48</v>
      </c>
      <c r="W22" s="10" t="s">
        <v>48</v>
      </c>
      <c r="X22" s="10" t="s">
        <v>48</v>
      </c>
      <c r="Y22" s="11" t="s">
        <v>49</v>
      </c>
      <c r="Z22" s="12" t="s">
        <v>54</v>
      </c>
      <c r="AA22" s="10" t="s">
        <v>48</v>
      </c>
      <c r="AB22" s="10" t="s">
        <v>48</v>
      </c>
      <c r="AC22" s="10" t="s">
        <v>48</v>
      </c>
      <c r="AD22" s="10" t="s">
        <v>48</v>
      </c>
      <c r="AE22" s="10" t="s">
        <v>48</v>
      </c>
      <c r="AF22" s="11" t="s">
        <v>49</v>
      </c>
      <c r="AG22" s="10" t="s">
        <v>48</v>
      </c>
      <c r="AH22" s="10" t="s">
        <v>48</v>
      </c>
      <c r="AI22" s="10" t="s">
        <v>48</v>
      </c>
      <c r="AJ22" s="7">
        <f>COUNTIF(E22:AI22, "ح")</f>
      </c>
      <c r="AK22" s="7">
        <f>COUNTIF(E22:AI22, "غ")</f>
      </c>
      <c r="AL22" s="7">
        <f>COUNTIF(E22:AI22, "ج")</f>
      </c>
      <c r="AM22" s="7">
        <f>COUNTIF(E22:AI22, "خ")</f>
      </c>
      <c r="AN22" s="13" t="s">
        <v>50</v>
      </c>
    </row>
    <row r="23" ht="20" customHeight="1" spans="1:40" x14ac:dyDescent="0.25">
      <c r="A23" s="4">
        <v>19</v>
      </c>
      <c r="B23" s="4" t="s">
        <v>101</v>
      </c>
      <c r="C23" s="4" t="s">
        <v>102</v>
      </c>
      <c r="D23" s="4" t="s">
        <v>103</v>
      </c>
      <c r="E23" s="5" t="s">
        <v>48</v>
      </c>
      <c r="F23" s="5" t="s">
        <v>48</v>
      </c>
      <c r="G23" s="5" t="s">
        <v>48</v>
      </c>
      <c r="H23" s="5" t="s">
        <v>48</v>
      </c>
      <c r="I23" s="5" t="s">
        <v>48</v>
      </c>
      <c r="J23" s="5" t="s">
        <v>48</v>
      </c>
      <c r="K23" s="6" t="s">
        <v>49</v>
      </c>
      <c r="L23" s="5" t="s">
        <v>48</v>
      </c>
      <c r="M23" s="5" t="s">
        <v>48</v>
      </c>
      <c r="N23" s="5" t="s">
        <v>48</v>
      </c>
      <c r="O23" s="5" t="s">
        <v>48</v>
      </c>
      <c r="P23" s="5" t="s">
        <v>48</v>
      </c>
      <c r="Q23" s="5" t="s">
        <v>48</v>
      </c>
      <c r="R23" s="6" t="s">
        <v>49</v>
      </c>
      <c r="S23" s="5" t="s">
        <v>48</v>
      </c>
      <c r="T23" s="5" t="s">
        <v>48</v>
      </c>
      <c r="U23" s="5" t="s">
        <v>48</v>
      </c>
      <c r="V23" s="5" t="s">
        <v>48</v>
      </c>
      <c r="W23" s="5" t="s">
        <v>48</v>
      </c>
      <c r="X23" s="5" t="s">
        <v>48</v>
      </c>
      <c r="Y23" s="6" t="s">
        <v>49</v>
      </c>
      <c r="Z23" s="5" t="s">
        <v>48</v>
      </c>
      <c r="AA23" s="5" t="s">
        <v>48</v>
      </c>
      <c r="AB23" s="5" t="s">
        <v>48</v>
      </c>
      <c r="AC23" s="5" t="s">
        <v>48</v>
      </c>
      <c r="AD23" s="5" t="s">
        <v>48</v>
      </c>
      <c r="AE23" s="5" t="s">
        <v>48</v>
      </c>
      <c r="AF23" s="6" t="s">
        <v>49</v>
      </c>
      <c r="AG23" s="5" t="s">
        <v>48</v>
      </c>
      <c r="AH23" s="5" t="s">
        <v>48</v>
      </c>
      <c r="AI23" s="5" t="s">
        <v>48</v>
      </c>
      <c r="AJ23" s="7">
        <f>COUNTIF(E23:AI23, "ح")</f>
      </c>
      <c r="AK23" s="7">
        <f>COUNTIF(E23:AI23, "غ")</f>
      </c>
      <c r="AL23" s="7">
        <f>COUNTIF(E23:AI23, "ج")</f>
      </c>
      <c r="AM23" s="7">
        <f>COUNTIF(E23:AI23, "خ")</f>
      </c>
      <c r="AN23" s="8" t="s">
        <v>50</v>
      </c>
    </row>
    <row r="24" ht="20" customHeight="1" spans="1:40" x14ac:dyDescent="0.25">
      <c r="A24" s="9">
        <v>20</v>
      </c>
      <c r="B24" s="9" t="s">
        <v>104</v>
      </c>
      <c r="C24" s="9" t="s">
        <v>105</v>
      </c>
      <c r="D24" s="9" t="s">
        <v>106</v>
      </c>
      <c r="E24" s="10" t="s">
        <v>48</v>
      </c>
      <c r="F24" s="10" t="s">
        <v>48</v>
      </c>
      <c r="G24" s="10" t="s">
        <v>48</v>
      </c>
      <c r="H24" s="10" t="s">
        <v>48</v>
      </c>
      <c r="I24" s="10" t="s">
        <v>48</v>
      </c>
      <c r="J24" s="10" t="s">
        <v>48</v>
      </c>
      <c r="K24" s="11" t="s">
        <v>49</v>
      </c>
      <c r="L24" s="10" t="s">
        <v>48</v>
      </c>
      <c r="M24" s="10" t="s">
        <v>48</v>
      </c>
      <c r="N24" s="10" t="s">
        <v>48</v>
      </c>
      <c r="O24" s="10" t="s">
        <v>48</v>
      </c>
      <c r="P24" s="10" t="s">
        <v>48</v>
      </c>
      <c r="Q24" s="10" t="s">
        <v>48</v>
      </c>
      <c r="R24" s="11" t="s">
        <v>49</v>
      </c>
      <c r="S24" s="10" t="s">
        <v>48</v>
      </c>
      <c r="T24" s="10" t="s">
        <v>48</v>
      </c>
      <c r="U24" s="10" t="s">
        <v>48</v>
      </c>
      <c r="V24" s="10" t="s">
        <v>48</v>
      </c>
      <c r="W24" s="10" t="s">
        <v>48</v>
      </c>
      <c r="X24" s="10" t="s">
        <v>48</v>
      </c>
      <c r="Y24" s="11" t="s">
        <v>49</v>
      </c>
      <c r="Z24" s="10" t="s">
        <v>48</v>
      </c>
      <c r="AA24" s="10" t="s">
        <v>48</v>
      </c>
      <c r="AB24" s="10" t="s">
        <v>48</v>
      </c>
      <c r="AC24" s="10" t="s">
        <v>48</v>
      </c>
      <c r="AD24" s="10" t="s">
        <v>48</v>
      </c>
      <c r="AE24" s="10" t="s">
        <v>48</v>
      </c>
      <c r="AF24" s="11" t="s">
        <v>49</v>
      </c>
      <c r="AG24" s="10" t="s">
        <v>48</v>
      </c>
      <c r="AH24" s="10" t="s">
        <v>48</v>
      </c>
      <c r="AI24" s="10" t="s">
        <v>48</v>
      </c>
      <c r="AJ24" s="7">
        <f>COUNTIF(E24:AI24, "ح")</f>
      </c>
      <c r="AK24" s="7">
        <f>COUNTIF(E24:AI24, "غ")</f>
      </c>
      <c r="AL24" s="7">
        <f>COUNTIF(E24:AI24, "ج")</f>
      </c>
      <c r="AM24" s="7">
        <f>COUNTIF(E24:AI24, "خ")</f>
      </c>
      <c r="AN24" s="13" t="s">
        <v>50</v>
      </c>
    </row>
    <row r="25" ht="24" customHeight="1" spans="1:40" x14ac:dyDescent="0.25">
      <c r="A25" s="15" t="s">
        <v>107</v>
      </c>
      <c r="B25" s="15" t="s">
        <v>107</v>
      </c>
      <c r="C25" s="15" t="s">
        <v>108</v>
      </c>
      <c r="D25" s="15" t="s">
        <v>107</v>
      </c>
      <c r="E25" s="15">
        <f>COUNTIF(E5:E24, "ح")</f>
      </c>
      <c r="F25" s="15">
        <f>COUNTIF(F5:F24, "ح")</f>
      </c>
      <c r="G25" s="15">
        <f>COUNTIF(G5:G24, "ح")</f>
      </c>
      <c r="H25" s="15">
        <f>COUNTIF(H5:H24, "ح")</f>
      </c>
      <c r="I25" s="15">
        <f>COUNTIF(I5:I24, "ح")</f>
      </c>
      <c r="J25" s="15">
        <f>COUNTIF(J5:J24, "ح")</f>
      </c>
      <c r="K25" s="15">
        <f>COUNTIF(K5:K24, "ح")</f>
      </c>
      <c r="L25" s="15">
        <f>COUNTIF(L5:L24, "ح")</f>
      </c>
      <c r="M25" s="15">
        <f>COUNTIF(M5:M24, "ح")</f>
      </c>
      <c r="N25" s="15">
        <f>COUNTIF(N5:N24, "ح")</f>
      </c>
      <c r="O25" s="15">
        <f>COUNTIF(O5:O24, "ح")</f>
      </c>
      <c r="P25" s="15">
        <f>COUNTIF(P5:P24, "ح")</f>
      </c>
      <c r="Q25" s="15">
        <f>COUNTIF(Q5:Q24, "ح")</f>
      </c>
      <c r="R25" s="15">
        <f>COUNTIF(R5:R24, "ح")</f>
      </c>
      <c r="S25" s="15">
        <f>COUNTIF(S5:S24, "ح")</f>
      </c>
      <c r="T25" s="15">
        <f>COUNTIF(T5:T24, "ح")</f>
      </c>
      <c r="U25" s="15">
        <f>COUNTIF(U5:U24, "ح")</f>
      </c>
      <c r="V25" s="15">
        <f>COUNTIF(V5:V24, "ح")</f>
      </c>
      <c r="W25" s="15">
        <f>COUNTIF(W5:W24, "ح")</f>
      </c>
      <c r="X25" s="15">
        <f>COUNTIF(X5:X24, "ح")</f>
      </c>
      <c r="Y25" s="15">
        <f>COUNTIF(Y5:Y24, "ح")</f>
      </c>
      <c r="Z25" s="15">
        <f>COUNTIF(Z5:Z24, "ح")</f>
      </c>
      <c r="AA25" s="15">
        <f>COUNTIF(AA5:AA24, "ح")</f>
      </c>
      <c r="AB25" s="15">
        <f>COUNTIF(AB5:AB24, "ح")</f>
      </c>
      <c r="AC25" s="15">
        <f>COUNTIF(AC5:AC24, "ح")</f>
      </c>
      <c r="AD25" s="15">
        <f>COUNTIF(AD5:AD24, "ح")</f>
      </c>
      <c r="AE25" s="15">
        <f>COUNTIF(AE5:AE24, "ح")</f>
      </c>
      <c r="AF25" s="15">
        <f>COUNTIF(AF5:AF24, "ح")</f>
      </c>
      <c r="AG25" s="15">
        <f>COUNTIF(AG5:AG24, "ح")</f>
      </c>
      <c r="AH25" s="15">
        <f>COUNTIF(AH5:AH24, "ح")</f>
      </c>
      <c r="AI25" s="15">
        <f>COUNTIF(AI5:AI24, "ح")</f>
      </c>
      <c r="AJ25" s="15">
        <f>SUM(AJ5:AJ24)</f>
      </c>
      <c r="AK25" s="15">
        <f>SUM(AK5:AK24)</f>
      </c>
      <c r="AL25" s="15">
        <f>SUM(AL5:AL24)</f>
      </c>
      <c r="AM25" s="15">
        <f>SUM(AM5:AM24)</f>
      </c>
      <c r="AN25" s="15" t="s">
        <v>107</v>
      </c>
    </row>
  </sheetData>
  <mergeCells count="5">
    <mergeCell ref="A1:AK1"/>
    <mergeCell ref="A2:D2"/>
    <mergeCell ref="E2:Q2"/>
    <mergeCell ref="R2:AD2"/>
    <mergeCell ref="AE2:AK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25"/>
  <sheetViews>
    <sheetView workbookViewId="0" rightToLeft="1"/>
  </sheetViews>
  <sheetFormatPr defaultRowHeight="15" outlineLevelRow="0" outlineLevelCol="0" x14ac:dyDescent="55"/>
  <cols>
    <col min="1" max="1" width="4.5" customWidth="1"/>
    <col min="2" max="2" width="10" customWidth="1"/>
    <col min="3" max="4" width="20" customWidth="1"/>
    <col min="5" max="35" width="4.2" customWidth="1"/>
    <col min="36" max="39" width="7.5" customWidth="1"/>
    <col min="40" max="40" width="16" customWidth="1"/>
  </cols>
  <sheetData>
    <row r="1" spans="1:37" x14ac:dyDescent="0.25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24" customHeight="1" spans="1:37" x14ac:dyDescent="0.25">
      <c r="A2" s="2" t="s">
        <v>1</v>
      </c>
      <c r="B2" s="2"/>
      <c r="C2" s="2"/>
      <c r="D2" s="2"/>
      <c r="E2" s="2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 t="s">
        <v>3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 t="s">
        <v>4</v>
      </c>
      <c r="AF2" s="2"/>
      <c r="AG2" s="2"/>
      <c r="AH2" s="2"/>
      <c r="AI2" s="2"/>
      <c r="AJ2" s="2"/>
      <c r="AK2" s="2"/>
    </row>
    <row r="4" ht="26" customHeight="1" spans="1:40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19</v>
      </c>
      <c r="P4" s="3" t="s">
        <v>20</v>
      </c>
      <c r="Q4" s="3" t="s">
        <v>21</v>
      </c>
      <c r="R4" s="3" t="s">
        <v>22</v>
      </c>
      <c r="S4" s="3" t="s">
        <v>23</v>
      </c>
      <c r="T4" s="3" t="s">
        <v>24</v>
      </c>
      <c r="U4" s="3" t="s">
        <v>25</v>
      </c>
      <c r="V4" s="3" t="s">
        <v>26</v>
      </c>
      <c r="W4" s="3" t="s">
        <v>27</v>
      </c>
      <c r="X4" s="3" t="s">
        <v>28</v>
      </c>
      <c r="Y4" s="3" t="s">
        <v>29</v>
      </c>
      <c r="Z4" s="3" t="s">
        <v>30</v>
      </c>
      <c r="AA4" s="3" t="s">
        <v>31</v>
      </c>
      <c r="AB4" s="3" t="s">
        <v>32</v>
      </c>
      <c r="AC4" s="3" t="s">
        <v>33</v>
      </c>
      <c r="AD4" s="3" t="s">
        <v>34</v>
      </c>
      <c r="AE4" s="3" t="s">
        <v>35</v>
      </c>
      <c r="AF4" s="3" t="s">
        <v>36</v>
      </c>
      <c r="AG4" s="3" t="s">
        <v>37</v>
      </c>
      <c r="AH4" s="3" t="s">
        <v>38</v>
      </c>
      <c r="AI4" s="3" t="s">
        <v>39</v>
      </c>
      <c r="AJ4" s="3" t="s">
        <v>40</v>
      </c>
      <c r="AK4" s="3" t="s">
        <v>41</v>
      </c>
      <c r="AL4" s="3" t="s">
        <v>42</v>
      </c>
      <c r="AM4" s="3" t="s">
        <v>43</v>
      </c>
      <c r="AN4" s="3" t="s">
        <v>44</v>
      </c>
    </row>
    <row r="5" ht="20" customHeight="1" spans="1:40" x14ac:dyDescent="0.25">
      <c r="A5" s="4">
        <v>1</v>
      </c>
      <c r="B5" s="4" t="s">
        <v>45</v>
      </c>
      <c r="C5" s="4" t="s">
        <v>46</v>
      </c>
      <c r="D5" s="4" t="s">
        <v>47</v>
      </c>
      <c r="E5" s="5" t="s">
        <v>48</v>
      </c>
      <c r="F5" s="5" t="s">
        <v>48</v>
      </c>
      <c r="G5" s="5" t="s">
        <v>48</v>
      </c>
      <c r="H5" s="5" t="s">
        <v>48</v>
      </c>
      <c r="I5" s="5" t="s">
        <v>48</v>
      </c>
      <c r="J5" s="5" t="s">
        <v>48</v>
      </c>
      <c r="K5" s="6" t="s">
        <v>49</v>
      </c>
      <c r="L5" s="5" t="s">
        <v>48</v>
      </c>
      <c r="M5" s="5" t="s">
        <v>48</v>
      </c>
      <c r="N5" s="5" t="s">
        <v>48</v>
      </c>
      <c r="O5" s="5" t="s">
        <v>48</v>
      </c>
      <c r="P5" s="5" t="s">
        <v>48</v>
      </c>
      <c r="Q5" s="5" t="s">
        <v>48</v>
      </c>
      <c r="R5" s="6" t="s">
        <v>49</v>
      </c>
      <c r="S5" s="5" t="s">
        <v>48</v>
      </c>
      <c r="T5" s="5" t="s">
        <v>48</v>
      </c>
      <c r="U5" s="5" t="s">
        <v>48</v>
      </c>
      <c r="V5" s="5" t="s">
        <v>48</v>
      </c>
      <c r="W5" s="5" t="s">
        <v>48</v>
      </c>
      <c r="X5" s="5" t="s">
        <v>48</v>
      </c>
      <c r="Y5" s="6" t="s">
        <v>49</v>
      </c>
      <c r="Z5" s="5" t="s">
        <v>48</v>
      </c>
      <c r="AA5" s="5" t="s">
        <v>48</v>
      </c>
      <c r="AB5" s="5" t="s">
        <v>48</v>
      </c>
      <c r="AC5" s="5" t="s">
        <v>48</v>
      </c>
      <c r="AD5" s="5" t="s">
        <v>48</v>
      </c>
      <c r="AE5" s="5" t="s">
        <v>48</v>
      </c>
      <c r="AF5" s="6" t="s">
        <v>49</v>
      </c>
      <c r="AG5" s="5" t="s">
        <v>48</v>
      </c>
      <c r="AH5" s="5" t="s">
        <v>48</v>
      </c>
      <c r="AI5" s="5" t="s">
        <v>48</v>
      </c>
      <c r="AJ5" s="7">
        <f>COUNTIF(E5:AI5, "ح")</f>
      </c>
      <c r="AK5" s="7">
        <f>COUNTIF(E5:AI5, "غ")</f>
      </c>
      <c r="AL5" s="7">
        <f>COUNTIF(E5:AI5, "ج")</f>
      </c>
      <c r="AM5" s="7">
        <f>COUNTIF(E5:AI5, "خ")</f>
      </c>
      <c r="AN5" s="8" t="s">
        <v>50</v>
      </c>
    </row>
    <row r="6" ht="20" customHeight="1" spans="1:40" x14ac:dyDescent="0.25">
      <c r="A6" s="9">
        <v>2</v>
      </c>
      <c r="B6" s="9" t="s">
        <v>51</v>
      </c>
      <c r="C6" s="9" t="s">
        <v>52</v>
      </c>
      <c r="D6" s="9" t="s">
        <v>53</v>
      </c>
      <c r="E6" s="10" t="s">
        <v>48</v>
      </c>
      <c r="F6" s="10" t="s">
        <v>48</v>
      </c>
      <c r="G6" s="10" t="s">
        <v>48</v>
      </c>
      <c r="H6" s="10" t="s">
        <v>48</v>
      </c>
      <c r="I6" s="10" t="s">
        <v>48</v>
      </c>
      <c r="J6" s="10" t="s">
        <v>48</v>
      </c>
      <c r="K6" s="11" t="s">
        <v>49</v>
      </c>
      <c r="L6" s="10" t="s">
        <v>48</v>
      </c>
      <c r="M6" s="10" t="s">
        <v>48</v>
      </c>
      <c r="N6" s="10" t="s">
        <v>48</v>
      </c>
      <c r="O6" s="10" t="s">
        <v>48</v>
      </c>
      <c r="P6" s="10" t="s">
        <v>48</v>
      </c>
      <c r="Q6" s="10" t="s">
        <v>48</v>
      </c>
      <c r="R6" s="11" t="s">
        <v>49</v>
      </c>
      <c r="S6" s="10" t="s">
        <v>48</v>
      </c>
      <c r="T6" s="10" t="s">
        <v>48</v>
      </c>
      <c r="U6" s="10" t="s">
        <v>48</v>
      </c>
      <c r="V6" s="10" t="s">
        <v>48</v>
      </c>
      <c r="W6" s="10" t="s">
        <v>48</v>
      </c>
      <c r="X6" s="10" t="s">
        <v>48</v>
      </c>
      <c r="Y6" s="11" t="s">
        <v>49</v>
      </c>
      <c r="Z6" s="12" t="s">
        <v>54</v>
      </c>
      <c r="AA6" s="10" t="s">
        <v>48</v>
      </c>
      <c r="AB6" s="10" t="s">
        <v>48</v>
      </c>
      <c r="AC6" s="10" t="s">
        <v>48</v>
      </c>
      <c r="AD6" s="10" t="s">
        <v>48</v>
      </c>
      <c r="AE6" s="10" t="s">
        <v>48</v>
      </c>
      <c r="AF6" s="11" t="s">
        <v>49</v>
      </c>
      <c r="AG6" s="10" t="s">
        <v>48</v>
      </c>
      <c r="AH6" s="10" t="s">
        <v>48</v>
      </c>
      <c r="AI6" s="10" t="s">
        <v>48</v>
      </c>
      <c r="AJ6" s="7">
        <f>COUNTIF(E6:AI6, "ح")</f>
      </c>
      <c r="AK6" s="7">
        <f>COUNTIF(E6:AI6, "غ")</f>
      </c>
      <c r="AL6" s="7">
        <f>COUNTIF(E6:AI6, "ج")</f>
      </c>
      <c r="AM6" s="7">
        <f>COUNTIF(E6:AI6, "خ")</f>
      </c>
      <c r="AN6" s="13" t="s">
        <v>50</v>
      </c>
    </row>
    <row r="7" ht="20" customHeight="1" spans="1:40" x14ac:dyDescent="0.25">
      <c r="A7" s="4">
        <v>3</v>
      </c>
      <c r="B7" s="4" t="s">
        <v>55</v>
      </c>
      <c r="C7" s="4" t="s">
        <v>56</v>
      </c>
      <c r="D7" s="4" t="s">
        <v>57</v>
      </c>
      <c r="E7" s="5" t="s">
        <v>48</v>
      </c>
      <c r="F7" s="5" t="s">
        <v>48</v>
      </c>
      <c r="G7" s="5" t="s">
        <v>48</v>
      </c>
      <c r="H7" s="5" t="s">
        <v>48</v>
      </c>
      <c r="I7" s="5" t="s">
        <v>48</v>
      </c>
      <c r="J7" s="5" t="s">
        <v>48</v>
      </c>
      <c r="K7" s="6" t="s">
        <v>49</v>
      </c>
      <c r="L7" s="5" t="s">
        <v>48</v>
      </c>
      <c r="M7" s="5" t="s">
        <v>48</v>
      </c>
      <c r="N7" s="5" t="s">
        <v>48</v>
      </c>
      <c r="O7" s="5" t="s">
        <v>48</v>
      </c>
      <c r="P7" s="5" t="s">
        <v>48</v>
      </c>
      <c r="Q7" s="5" t="s">
        <v>48</v>
      </c>
      <c r="R7" s="6" t="s">
        <v>49</v>
      </c>
      <c r="S7" s="14" t="s">
        <v>58</v>
      </c>
      <c r="T7" s="5" t="s">
        <v>48</v>
      </c>
      <c r="U7" s="5" t="s">
        <v>48</v>
      </c>
      <c r="V7" s="5" t="s">
        <v>48</v>
      </c>
      <c r="W7" s="5" t="s">
        <v>48</v>
      </c>
      <c r="X7" s="5" t="s">
        <v>48</v>
      </c>
      <c r="Y7" s="6" t="s">
        <v>49</v>
      </c>
      <c r="Z7" s="5" t="s">
        <v>48</v>
      </c>
      <c r="AA7" s="5" t="s">
        <v>48</v>
      </c>
      <c r="AB7" s="5" t="s">
        <v>48</v>
      </c>
      <c r="AC7" s="5" t="s">
        <v>48</v>
      </c>
      <c r="AD7" s="5" t="s">
        <v>48</v>
      </c>
      <c r="AE7" s="5" t="s">
        <v>48</v>
      </c>
      <c r="AF7" s="6" t="s">
        <v>49</v>
      </c>
      <c r="AG7" s="5" t="s">
        <v>48</v>
      </c>
      <c r="AH7" s="5" t="s">
        <v>48</v>
      </c>
      <c r="AI7" s="5" t="s">
        <v>48</v>
      </c>
      <c r="AJ7" s="7">
        <f>COUNTIF(E7:AI7, "ح")</f>
      </c>
      <c r="AK7" s="7">
        <f>COUNTIF(E7:AI7, "غ")</f>
      </c>
      <c r="AL7" s="7">
        <f>COUNTIF(E7:AI7, "ج")</f>
      </c>
      <c r="AM7" s="7">
        <f>COUNTIF(E7:AI7, "خ")</f>
      </c>
      <c r="AN7" s="8" t="s">
        <v>50</v>
      </c>
    </row>
    <row r="8" ht="20" customHeight="1" spans="1:40" x14ac:dyDescent="0.25">
      <c r="A8" s="9">
        <v>4</v>
      </c>
      <c r="B8" s="9" t="s">
        <v>59</v>
      </c>
      <c r="C8" s="9" t="s">
        <v>60</v>
      </c>
      <c r="D8" s="9" t="s">
        <v>61</v>
      </c>
      <c r="E8" s="10" t="s">
        <v>48</v>
      </c>
      <c r="F8" s="10" t="s">
        <v>48</v>
      </c>
      <c r="G8" s="10" t="s">
        <v>48</v>
      </c>
      <c r="H8" s="10" t="s">
        <v>48</v>
      </c>
      <c r="I8" s="10" t="s">
        <v>48</v>
      </c>
      <c r="J8" s="10" t="s">
        <v>48</v>
      </c>
      <c r="K8" s="11" t="s">
        <v>49</v>
      </c>
      <c r="L8" s="10" t="s">
        <v>48</v>
      </c>
      <c r="M8" s="10" t="s">
        <v>48</v>
      </c>
      <c r="N8" s="10" t="s">
        <v>48</v>
      </c>
      <c r="O8" s="10" t="s">
        <v>48</v>
      </c>
      <c r="P8" s="10" t="s">
        <v>48</v>
      </c>
      <c r="Q8" s="10" t="s">
        <v>48</v>
      </c>
      <c r="R8" s="11" t="s">
        <v>49</v>
      </c>
      <c r="S8" s="10" t="s">
        <v>48</v>
      </c>
      <c r="T8" s="10" t="s">
        <v>48</v>
      </c>
      <c r="U8" s="10" t="s">
        <v>48</v>
      </c>
      <c r="V8" s="10" t="s">
        <v>48</v>
      </c>
      <c r="W8" s="10" t="s">
        <v>48</v>
      </c>
      <c r="X8" s="10" t="s">
        <v>48</v>
      </c>
      <c r="Y8" s="11" t="s">
        <v>49</v>
      </c>
      <c r="Z8" s="10" t="s">
        <v>48</v>
      </c>
      <c r="AA8" s="10" t="s">
        <v>48</v>
      </c>
      <c r="AB8" s="10" t="s">
        <v>48</v>
      </c>
      <c r="AC8" s="10" t="s">
        <v>48</v>
      </c>
      <c r="AD8" s="10" t="s">
        <v>48</v>
      </c>
      <c r="AE8" s="10" t="s">
        <v>48</v>
      </c>
      <c r="AF8" s="11" t="s">
        <v>49</v>
      </c>
      <c r="AG8" s="10" t="s">
        <v>48</v>
      </c>
      <c r="AH8" s="10" t="s">
        <v>48</v>
      </c>
      <c r="AI8" s="10" t="s">
        <v>48</v>
      </c>
      <c r="AJ8" s="7">
        <f>COUNTIF(E8:AI8, "ح")</f>
      </c>
      <c r="AK8" s="7">
        <f>COUNTIF(E8:AI8, "غ")</f>
      </c>
      <c r="AL8" s="7">
        <f>COUNTIF(E8:AI8, "ج")</f>
      </c>
      <c r="AM8" s="7">
        <f>COUNTIF(E8:AI8, "خ")</f>
      </c>
      <c r="AN8" s="13" t="s">
        <v>50</v>
      </c>
    </row>
    <row r="9" ht="20" customHeight="1" spans="1:40" x14ac:dyDescent="0.25">
      <c r="A9" s="4">
        <v>5</v>
      </c>
      <c r="B9" s="4" t="s">
        <v>62</v>
      </c>
      <c r="C9" s="4" t="s">
        <v>63</v>
      </c>
      <c r="D9" s="4" t="s">
        <v>64</v>
      </c>
      <c r="E9" s="5" t="s">
        <v>48</v>
      </c>
      <c r="F9" s="5" t="s">
        <v>48</v>
      </c>
      <c r="G9" s="5" t="s">
        <v>48</v>
      </c>
      <c r="H9" s="5" t="s">
        <v>48</v>
      </c>
      <c r="I9" s="5" t="s">
        <v>48</v>
      </c>
      <c r="J9" s="5" t="s">
        <v>48</v>
      </c>
      <c r="K9" s="6" t="s">
        <v>49</v>
      </c>
      <c r="L9" s="5" t="s">
        <v>48</v>
      </c>
      <c r="M9" s="5" t="s">
        <v>48</v>
      </c>
      <c r="N9" s="5" t="s">
        <v>48</v>
      </c>
      <c r="O9" s="5" t="s">
        <v>48</v>
      </c>
      <c r="P9" s="5" t="s">
        <v>48</v>
      </c>
      <c r="Q9" s="5" t="s">
        <v>48</v>
      </c>
      <c r="R9" s="6" t="s">
        <v>49</v>
      </c>
      <c r="S9" s="5" t="s">
        <v>48</v>
      </c>
      <c r="T9" s="5" t="s">
        <v>48</v>
      </c>
      <c r="U9" s="5" t="s">
        <v>48</v>
      </c>
      <c r="V9" s="5" t="s">
        <v>48</v>
      </c>
      <c r="W9" s="5" t="s">
        <v>48</v>
      </c>
      <c r="X9" s="5" t="s">
        <v>48</v>
      </c>
      <c r="Y9" s="6" t="s">
        <v>49</v>
      </c>
      <c r="Z9" s="5" t="s">
        <v>48</v>
      </c>
      <c r="AA9" s="5" t="s">
        <v>48</v>
      </c>
      <c r="AB9" s="5" t="s">
        <v>48</v>
      </c>
      <c r="AC9" s="5" t="s">
        <v>48</v>
      </c>
      <c r="AD9" s="5" t="s">
        <v>48</v>
      </c>
      <c r="AE9" s="5" t="s">
        <v>48</v>
      </c>
      <c r="AF9" s="6" t="s">
        <v>49</v>
      </c>
      <c r="AG9" s="5" t="s">
        <v>48</v>
      </c>
      <c r="AH9" s="5" t="s">
        <v>48</v>
      </c>
      <c r="AI9" s="5" t="s">
        <v>48</v>
      </c>
      <c r="AJ9" s="7">
        <f>COUNTIF(E9:AI9, "ح")</f>
      </c>
      <c r="AK9" s="7">
        <f>COUNTIF(E9:AI9, "غ")</f>
      </c>
      <c r="AL9" s="7">
        <f>COUNTIF(E9:AI9, "ج")</f>
      </c>
      <c r="AM9" s="7">
        <f>COUNTIF(E9:AI9, "خ")</f>
      </c>
      <c r="AN9" s="8" t="s">
        <v>50</v>
      </c>
    </row>
    <row r="10" ht="20" customHeight="1" spans="1:40" x14ac:dyDescent="0.25">
      <c r="A10" s="9">
        <v>6</v>
      </c>
      <c r="B10" s="9" t="s">
        <v>65</v>
      </c>
      <c r="C10" s="9" t="s">
        <v>66</v>
      </c>
      <c r="D10" s="9" t="s">
        <v>67</v>
      </c>
      <c r="E10" s="10" t="s">
        <v>48</v>
      </c>
      <c r="F10" s="10" t="s">
        <v>48</v>
      </c>
      <c r="G10" s="10" t="s">
        <v>48</v>
      </c>
      <c r="H10" s="10" t="s">
        <v>48</v>
      </c>
      <c r="I10" s="10" t="s">
        <v>48</v>
      </c>
      <c r="J10" s="10" t="s">
        <v>48</v>
      </c>
      <c r="K10" s="11" t="s">
        <v>49</v>
      </c>
      <c r="L10" s="10" t="s">
        <v>48</v>
      </c>
      <c r="M10" s="10" t="s">
        <v>48</v>
      </c>
      <c r="N10" s="10" t="s">
        <v>48</v>
      </c>
      <c r="O10" s="10" t="s">
        <v>48</v>
      </c>
      <c r="P10" s="10" t="s">
        <v>48</v>
      </c>
      <c r="Q10" s="10" t="s">
        <v>48</v>
      </c>
      <c r="R10" s="11" t="s">
        <v>49</v>
      </c>
      <c r="S10" s="10" t="s">
        <v>48</v>
      </c>
      <c r="T10" s="10" t="s">
        <v>48</v>
      </c>
      <c r="U10" s="10" t="s">
        <v>48</v>
      </c>
      <c r="V10" s="10" t="s">
        <v>48</v>
      </c>
      <c r="W10" s="10" t="s">
        <v>48</v>
      </c>
      <c r="X10" s="10" t="s">
        <v>48</v>
      </c>
      <c r="Y10" s="11" t="s">
        <v>49</v>
      </c>
      <c r="Z10" s="12" t="s">
        <v>54</v>
      </c>
      <c r="AA10" s="10" t="s">
        <v>48</v>
      </c>
      <c r="AB10" s="10" t="s">
        <v>48</v>
      </c>
      <c r="AC10" s="10" t="s">
        <v>48</v>
      </c>
      <c r="AD10" s="10" t="s">
        <v>48</v>
      </c>
      <c r="AE10" s="10" t="s">
        <v>48</v>
      </c>
      <c r="AF10" s="11" t="s">
        <v>49</v>
      </c>
      <c r="AG10" s="10" t="s">
        <v>48</v>
      </c>
      <c r="AH10" s="10" t="s">
        <v>48</v>
      </c>
      <c r="AI10" s="10" t="s">
        <v>48</v>
      </c>
      <c r="AJ10" s="7">
        <f>COUNTIF(E10:AI10, "ح")</f>
      </c>
      <c r="AK10" s="7">
        <f>COUNTIF(E10:AI10, "غ")</f>
      </c>
      <c r="AL10" s="7">
        <f>COUNTIF(E10:AI10, "ج")</f>
      </c>
      <c r="AM10" s="7">
        <f>COUNTIF(E10:AI10, "خ")</f>
      </c>
      <c r="AN10" s="13" t="s">
        <v>50</v>
      </c>
    </row>
    <row r="11" ht="20" customHeight="1" spans="1:40" x14ac:dyDescent="0.25">
      <c r="A11" s="4">
        <v>7</v>
      </c>
      <c r="B11" s="4" t="s">
        <v>68</v>
      </c>
      <c r="C11" s="4" t="s">
        <v>69</v>
      </c>
      <c r="D11" s="4" t="s">
        <v>70</v>
      </c>
      <c r="E11" s="5" t="s">
        <v>48</v>
      </c>
      <c r="F11" s="5" t="s">
        <v>48</v>
      </c>
      <c r="G11" s="5" t="s">
        <v>48</v>
      </c>
      <c r="H11" s="5" t="s">
        <v>48</v>
      </c>
      <c r="I11" s="5" t="s">
        <v>48</v>
      </c>
      <c r="J11" s="5" t="s">
        <v>48</v>
      </c>
      <c r="K11" s="6" t="s">
        <v>49</v>
      </c>
      <c r="L11" s="5" t="s">
        <v>48</v>
      </c>
      <c r="M11" s="5" t="s">
        <v>48</v>
      </c>
      <c r="N11" s="5" t="s">
        <v>48</v>
      </c>
      <c r="O11" s="5" t="s">
        <v>48</v>
      </c>
      <c r="P11" s="5" t="s">
        <v>48</v>
      </c>
      <c r="Q11" s="5" t="s">
        <v>48</v>
      </c>
      <c r="R11" s="6" t="s">
        <v>49</v>
      </c>
      <c r="S11" s="5" t="s">
        <v>48</v>
      </c>
      <c r="T11" s="5" t="s">
        <v>48</v>
      </c>
      <c r="U11" s="5" t="s">
        <v>48</v>
      </c>
      <c r="V11" s="5" t="s">
        <v>48</v>
      </c>
      <c r="W11" s="5" t="s">
        <v>48</v>
      </c>
      <c r="X11" s="5" t="s">
        <v>48</v>
      </c>
      <c r="Y11" s="6" t="s">
        <v>49</v>
      </c>
      <c r="Z11" s="5" t="s">
        <v>48</v>
      </c>
      <c r="AA11" s="5" t="s">
        <v>48</v>
      </c>
      <c r="AB11" s="5" t="s">
        <v>48</v>
      </c>
      <c r="AC11" s="5" t="s">
        <v>48</v>
      </c>
      <c r="AD11" s="5" t="s">
        <v>48</v>
      </c>
      <c r="AE11" s="5" t="s">
        <v>48</v>
      </c>
      <c r="AF11" s="6" t="s">
        <v>49</v>
      </c>
      <c r="AG11" s="5" t="s">
        <v>48</v>
      </c>
      <c r="AH11" s="5" t="s">
        <v>48</v>
      </c>
      <c r="AI11" s="5" t="s">
        <v>48</v>
      </c>
      <c r="AJ11" s="7">
        <f>COUNTIF(E11:AI11, "ح")</f>
      </c>
      <c r="AK11" s="7">
        <f>COUNTIF(E11:AI11, "غ")</f>
      </c>
      <c r="AL11" s="7">
        <f>COUNTIF(E11:AI11, "ج")</f>
      </c>
      <c r="AM11" s="7">
        <f>COUNTIF(E11:AI11, "خ")</f>
      </c>
      <c r="AN11" s="8" t="s">
        <v>50</v>
      </c>
    </row>
    <row r="12" ht="20" customHeight="1" spans="1:40" x14ac:dyDescent="0.25">
      <c r="A12" s="9">
        <v>8</v>
      </c>
      <c r="B12" s="9" t="s">
        <v>71</v>
      </c>
      <c r="C12" s="9" t="s">
        <v>72</v>
      </c>
      <c r="D12" s="9" t="s">
        <v>73</v>
      </c>
      <c r="E12" s="10" t="s">
        <v>48</v>
      </c>
      <c r="F12" s="10" t="s">
        <v>48</v>
      </c>
      <c r="G12" s="10" t="s">
        <v>48</v>
      </c>
      <c r="H12" s="10" t="s">
        <v>48</v>
      </c>
      <c r="I12" s="10" t="s">
        <v>48</v>
      </c>
      <c r="J12" s="10" t="s">
        <v>48</v>
      </c>
      <c r="K12" s="11" t="s">
        <v>49</v>
      </c>
      <c r="L12" s="10" t="s">
        <v>48</v>
      </c>
      <c r="M12" s="10" t="s">
        <v>48</v>
      </c>
      <c r="N12" s="10" t="s">
        <v>48</v>
      </c>
      <c r="O12" s="10" t="s">
        <v>48</v>
      </c>
      <c r="P12" s="10" t="s">
        <v>48</v>
      </c>
      <c r="Q12" s="10" t="s">
        <v>48</v>
      </c>
      <c r="R12" s="11" t="s">
        <v>49</v>
      </c>
      <c r="S12" s="14" t="s">
        <v>58</v>
      </c>
      <c r="T12" s="10" t="s">
        <v>48</v>
      </c>
      <c r="U12" s="10" t="s">
        <v>48</v>
      </c>
      <c r="V12" s="10" t="s">
        <v>48</v>
      </c>
      <c r="W12" s="10" t="s">
        <v>48</v>
      </c>
      <c r="X12" s="10" t="s">
        <v>48</v>
      </c>
      <c r="Y12" s="11" t="s">
        <v>49</v>
      </c>
      <c r="Z12" s="10" t="s">
        <v>48</v>
      </c>
      <c r="AA12" s="10" t="s">
        <v>48</v>
      </c>
      <c r="AB12" s="10" t="s">
        <v>48</v>
      </c>
      <c r="AC12" s="10" t="s">
        <v>48</v>
      </c>
      <c r="AD12" s="10" t="s">
        <v>48</v>
      </c>
      <c r="AE12" s="10" t="s">
        <v>48</v>
      </c>
      <c r="AF12" s="11" t="s">
        <v>49</v>
      </c>
      <c r="AG12" s="10" t="s">
        <v>48</v>
      </c>
      <c r="AH12" s="10" t="s">
        <v>48</v>
      </c>
      <c r="AI12" s="10" t="s">
        <v>48</v>
      </c>
      <c r="AJ12" s="7">
        <f>COUNTIF(E12:AI12, "ح")</f>
      </c>
      <c r="AK12" s="7">
        <f>COUNTIF(E12:AI12, "غ")</f>
      </c>
      <c r="AL12" s="7">
        <f>COUNTIF(E12:AI12, "ج")</f>
      </c>
      <c r="AM12" s="7">
        <f>COUNTIF(E12:AI12, "خ")</f>
      </c>
      <c r="AN12" s="13" t="s">
        <v>50</v>
      </c>
    </row>
    <row r="13" ht="20" customHeight="1" spans="1:40" x14ac:dyDescent="0.25">
      <c r="A13" s="4">
        <v>9</v>
      </c>
      <c r="B13" s="4" t="s">
        <v>74</v>
      </c>
      <c r="C13" s="4" t="s">
        <v>75</v>
      </c>
      <c r="D13" s="4" t="s">
        <v>76</v>
      </c>
      <c r="E13" s="5" t="s">
        <v>48</v>
      </c>
      <c r="F13" s="5" t="s">
        <v>48</v>
      </c>
      <c r="G13" s="5" t="s">
        <v>48</v>
      </c>
      <c r="H13" s="5" t="s">
        <v>48</v>
      </c>
      <c r="I13" s="5" t="s">
        <v>48</v>
      </c>
      <c r="J13" s="5" t="s">
        <v>48</v>
      </c>
      <c r="K13" s="6" t="s">
        <v>49</v>
      </c>
      <c r="L13" s="5" t="s">
        <v>48</v>
      </c>
      <c r="M13" s="5" t="s">
        <v>48</v>
      </c>
      <c r="N13" s="5" t="s">
        <v>48</v>
      </c>
      <c r="O13" s="5" t="s">
        <v>48</v>
      </c>
      <c r="P13" s="5" t="s">
        <v>48</v>
      </c>
      <c r="Q13" s="5" t="s">
        <v>48</v>
      </c>
      <c r="R13" s="6" t="s">
        <v>49</v>
      </c>
      <c r="S13" s="5" t="s">
        <v>48</v>
      </c>
      <c r="T13" s="5" t="s">
        <v>48</v>
      </c>
      <c r="U13" s="5" t="s">
        <v>48</v>
      </c>
      <c r="V13" s="5" t="s">
        <v>48</v>
      </c>
      <c r="W13" s="5" t="s">
        <v>48</v>
      </c>
      <c r="X13" s="5" t="s">
        <v>48</v>
      </c>
      <c r="Y13" s="6" t="s">
        <v>49</v>
      </c>
      <c r="Z13" s="5" t="s">
        <v>48</v>
      </c>
      <c r="AA13" s="5" t="s">
        <v>48</v>
      </c>
      <c r="AB13" s="5" t="s">
        <v>48</v>
      </c>
      <c r="AC13" s="5" t="s">
        <v>48</v>
      </c>
      <c r="AD13" s="5" t="s">
        <v>48</v>
      </c>
      <c r="AE13" s="5" t="s">
        <v>48</v>
      </c>
      <c r="AF13" s="6" t="s">
        <v>49</v>
      </c>
      <c r="AG13" s="5" t="s">
        <v>48</v>
      </c>
      <c r="AH13" s="5" t="s">
        <v>48</v>
      </c>
      <c r="AI13" s="5" t="s">
        <v>48</v>
      </c>
      <c r="AJ13" s="7">
        <f>COUNTIF(E13:AI13, "ح")</f>
      </c>
      <c r="AK13" s="7">
        <f>COUNTIF(E13:AI13, "غ")</f>
      </c>
      <c r="AL13" s="7">
        <f>COUNTIF(E13:AI13, "ج")</f>
      </c>
      <c r="AM13" s="7">
        <f>COUNTIF(E13:AI13, "خ")</f>
      </c>
      <c r="AN13" s="8" t="s">
        <v>50</v>
      </c>
    </row>
    <row r="14" ht="20" customHeight="1" spans="1:40" x14ac:dyDescent="0.25">
      <c r="A14" s="9">
        <v>10</v>
      </c>
      <c r="B14" s="9" t="s">
        <v>77</v>
      </c>
      <c r="C14" s="9" t="s">
        <v>78</v>
      </c>
      <c r="D14" s="9" t="s">
        <v>76</v>
      </c>
      <c r="E14" s="10" t="s">
        <v>48</v>
      </c>
      <c r="F14" s="10" t="s">
        <v>48</v>
      </c>
      <c r="G14" s="10" t="s">
        <v>48</v>
      </c>
      <c r="H14" s="10" t="s">
        <v>48</v>
      </c>
      <c r="I14" s="10" t="s">
        <v>48</v>
      </c>
      <c r="J14" s="10" t="s">
        <v>48</v>
      </c>
      <c r="K14" s="11" t="s">
        <v>49</v>
      </c>
      <c r="L14" s="10" t="s">
        <v>48</v>
      </c>
      <c r="M14" s="10" t="s">
        <v>48</v>
      </c>
      <c r="N14" s="10" t="s">
        <v>48</v>
      </c>
      <c r="O14" s="10" t="s">
        <v>48</v>
      </c>
      <c r="P14" s="10" t="s">
        <v>48</v>
      </c>
      <c r="Q14" s="10" t="s">
        <v>48</v>
      </c>
      <c r="R14" s="11" t="s">
        <v>49</v>
      </c>
      <c r="S14" s="10" t="s">
        <v>48</v>
      </c>
      <c r="T14" s="10" t="s">
        <v>48</v>
      </c>
      <c r="U14" s="10" t="s">
        <v>48</v>
      </c>
      <c r="V14" s="10" t="s">
        <v>48</v>
      </c>
      <c r="W14" s="10" t="s">
        <v>48</v>
      </c>
      <c r="X14" s="10" t="s">
        <v>48</v>
      </c>
      <c r="Y14" s="11" t="s">
        <v>49</v>
      </c>
      <c r="Z14" s="12" t="s">
        <v>54</v>
      </c>
      <c r="AA14" s="10" t="s">
        <v>48</v>
      </c>
      <c r="AB14" s="10" t="s">
        <v>48</v>
      </c>
      <c r="AC14" s="10" t="s">
        <v>48</v>
      </c>
      <c r="AD14" s="10" t="s">
        <v>48</v>
      </c>
      <c r="AE14" s="10" t="s">
        <v>48</v>
      </c>
      <c r="AF14" s="11" t="s">
        <v>49</v>
      </c>
      <c r="AG14" s="10" t="s">
        <v>48</v>
      </c>
      <c r="AH14" s="10" t="s">
        <v>48</v>
      </c>
      <c r="AI14" s="10" t="s">
        <v>48</v>
      </c>
      <c r="AJ14" s="7">
        <f>COUNTIF(E14:AI14, "ح")</f>
      </c>
      <c r="AK14" s="7">
        <f>COUNTIF(E14:AI14, "غ")</f>
      </c>
      <c r="AL14" s="7">
        <f>COUNTIF(E14:AI14, "ج")</f>
      </c>
      <c r="AM14" s="7">
        <f>COUNTIF(E14:AI14, "خ")</f>
      </c>
      <c r="AN14" s="13" t="s">
        <v>50</v>
      </c>
    </row>
    <row r="15" ht="20" customHeight="1" spans="1:40" x14ac:dyDescent="0.25">
      <c r="A15" s="4">
        <v>11</v>
      </c>
      <c r="B15" s="4" t="s">
        <v>79</v>
      </c>
      <c r="C15" s="4" t="s">
        <v>80</v>
      </c>
      <c r="D15" s="4" t="s">
        <v>76</v>
      </c>
      <c r="E15" s="5" t="s">
        <v>48</v>
      </c>
      <c r="F15" s="5" t="s">
        <v>48</v>
      </c>
      <c r="G15" s="5" t="s">
        <v>48</v>
      </c>
      <c r="H15" s="5" t="s">
        <v>48</v>
      </c>
      <c r="I15" s="5" t="s">
        <v>48</v>
      </c>
      <c r="J15" s="5" t="s">
        <v>48</v>
      </c>
      <c r="K15" s="6" t="s">
        <v>49</v>
      </c>
      <c r="L15" s="5" t="s">
        <v>48</v>
      </c>
      <c r="M15" s="5" t="s">
        <v>48</v>
      </c>
      <c r="N15" s="5" t="s">
        <v>48</v>
      </c>
      <c r="O15" s="5" t="s">
        <v>48</v>
      </c>
      <c r="P15" s="5" t="s">
        <v>48</v>
      </c>
      <c r="Q15" s="5" t="s">
        <v>48</v>
      </c>
      <c r="R15" s="6" t="s">
        <v>49</v>
      </c>
      <c r="S15" s="5" t="s">
        <v>48</v>
      </c>
      <c r="T15" s="5" t="s">
        <v>48</v>
      </c>
      <c r="U15" s="5" t="s">
        <v>48</v>
      </c>
      <c r="V15" s="5" t="s">
        <v>48</v>
      </c>
      <c r="W15" s="5" t="s">
        <v>48</v>
      </c>
      <c r="X15" s="5" t="s">
        <v>48</v>
      </c>
      <c r="Y15" s="6" t="s">
        <v>49</v>
      </c>
      <c r="Z15" s="5" t="s">
        <v>48</v>
      </c>
      <c r="AA15" s="5" t="s">
        <v>48</v>
      </c>
      <c r="AB15" s="5" t="s">
        <v>48</v>
      </c>
      <c r="AC15" s="5" t="s">
        <v>48</v>
      </c>
      <c r="AD15" s="5" t="s">
        <v>48</v>
      </c>
      <c r="AE15" s="5" t="s">
        <v>48</v>
      </c>
      <c r="AF15" s="6" t="s">
        <v>49</v>
      </c>
      <c r="AG15" s="5" t="s">
        <v>48</v>
      </c>
      <c r="AH15" s="5" t="s">
        <v>48</v>
      </c>
      <c r="AI15" s="5" t="s">
        <v>48</v>
      </c>
      <c r="AJ15" s="7">
        <f>COUNTIF(E15:AI15, "ح")</f>
      </c>
      <c r="AK15" s="7">
        <f>COUNTIF(E15:AI15, "غ")</f>
      </c>
      <c r="AL15" s="7">
        <f>COUNTIF(E15:AI15, "ج")</f>
      </c>
      <c r="AM15" s="7">
        <f>COUNTIF(E15:AI15, "خ")</f>
      </c>
      <c r="AN15" s="8" t="s">
        <v>50</v>
      </c>
    </row>
    <row r="16" ht="20" customHeight="1" spans="1:40" x14ac:dyDescent="0.25">
      <c r="A16" s="9">
        <v>12</v>
      </c>
      <c r="B16" s="9" t="s">
        <v>81</v>
      </c>
      <c r="C16" s="9" t="s">
        <v>82</v>
      </c>
      <c r="D16" s="9" t="s">
        <v>76</v>
      </c>
      <c r="E16" s="10" t="s">
        <v>48</v>
      </c>
      <c r="F16" s="10" t="s">
        <v>48</v>
      </c>
      <c r="G16" s="10" t="s">
        <v>48</v>
      </c>
      <c r="H16" s="10" t="s">
        <v>48</v>
      </c>
      <c r="I16" s="10" t="s">
        <v>48</v>
      </c>
      <c r="J16" s="10" t="s">
        <v>48</v>
      </c>
      <c r="K16" s="11" t="s">
        <v>49</v>
      </c>
      <c r="L16" s="10" t="s">
        <v>48</v>
      </c>
      <c r="M16" s="10" t="s">
        <v>48</v>
      </c>
      <c r="N16" s="10" t="s">
        <v>48</v>
      </c>
      <c r="O16" s="10" t="s">
        <v>48</v>
      </c>
      <c r="P16" s="10" t="s">
        <v>48</v>
      </c>
      <c r="Q16" s="10" t="s">
        <v>48</v>
      </c>
      <c r="R16" s="11" t="s">
        <v>49</v>
      </c>
      <c r="S16" s="10" t="s">
        <v>48</v>
      </c>
      <c r="T16" s="10" t="s">
        <v>48</v>
      </c>
      <c r="U16" s="10" t="s">
        <v>48</v>
      </c>
      <c r="V16" s="10" t="s">
        <v>48</v>
      </c>
      <c r="W16" s="10" t="s">
        <v>48</v>
      </c>
      <c r="X16" s="10" t="s">
        <v>48</v>
      </c>
      <c r="Y16" s="11" t="s">
        <v>49</v>
      </c>
      <c r="Z16" s="10" t="s">
        <v>48</v>
      </c>
      <c r="AA16" s="10" t="s">
        <v>48</v>
      </c>
      <c r="AB16" s="10" t="s">
        <v>48</v>
      </c>
      <c r="AC16" s="10" t="s">
        <v>48</v>
      </c>
      <c r="AD16" s="10" t="s">
        <v>48</v>
      </c>
      <c r="AE16" s="10" t="s">
        <v>48</v>
      </c>
      <c r="AF16" s="11" t="s">
        <v>49</v>
      </c>
      <c r="AG16" s="10" t="s">
        <v>48</v>
      </c>
      <c r="AH16" s="10" t="s">
        <v>48</v>
      </c>
      <c r="AI16" s="10" t="s">
        <v>48</v>
      </c>
      <c r="AJ16" s="7">
        <f>COUNTIF(E16:AI16, "ح")</f>
      </c>
      <c r="AK16" s="7">
        <f>COUNTIF(E16:AI16, "غ")</f>
      </c>
      <c r="AL16" s="7">
        <f>COUNTIF(E16:AI16, "ج")</f>
      </c>
      <c r="AM16" s="7">
        <f>COUNTIF(E16:AI16, "خ")</f>
      </c>
      <c r="AN16" s="13" t="s">
        <v>50</v>
      </c>
    </row>
    <row r="17" ht="20" customHeight="1" spans="1:40" x14ac:dyDescent="0.25">
      <c r="A17" s="4">
        <v>13</v>
      </c>
      <c r="B17" s="4" t="s">
        <v>83</v>
      </c>
      <c r="C17" s="4" t="s">
        <v>84</v>
      </c>
      <c r="D17" s="4" t="s">
        <v>85</v>
      </c>
      <c r="E17" s="5" t="s">
        <v>48</v>
      </c>
      <c r="F17" s="5" t="s">
        <v>48</v>
      </c>
      <c r="G17" s="5" t="s">
        <v>48</v>
      </c>
      <c r="H17" s="5" t="s">
        <v>48</v>
      </c>
      <c r="I17" s="5" t="s">
        <v>48</v>
      </c>
      <c r="J17" s="5" t="s">
        <v>48</v>
      </c>
      <c r="K17" s="6" t="s">
        <v>49</v>
      </c>
      <c r="L17" s="5" t="s">
        <v>48</v>
      </c>
      <c r="M17" s="5" t="s">
        <v>48</v>
      </c>
      <c r="N17" s="5" t="s">
        <v>48</v>
      </c>
      <c r="O17" s="5" t="s">
        <v>48</v>
      </c>
      <c r="P17" s="5" t="s">
        <v>48</v>
      </c>
      <c r="Q17" s="5" t="s">
        <v>48</v>
      </c>
      <c r="R17" s="6" t="s">
        <v>49</v>
      </c>
      <c r="S17" s="14" t="s">
        <v>58</v>
      </c>
      <c r="T17" s="5" t="s">
        <v>48</v>
      </c>
      <c r="U17" s="5" t="s">
        <v>48</v>
      </c>
      <c r="V17" s="5" t="s">
        <v>48</v>
      </c>
      <c r="W17" s="5" t="s">
        <v>48</v>
      </c>
      <c r="X17" s="5" t="s">
        <v>48</v>
      </c>
      <c r="Y17" s="6" t="s">
        <v>49</v>
      </c>
      <c r="Z17" s="5" t="s">
        <v>48</v>
      </c>
      <c r="AA17" s="5" t="s">
        <v>48</v>
      </c>
      <c r="AB17" s="5" t="s">
        <v>48</v>
      </c>
      <c r="AC17" s="5" t="s">
        <v>48</v>
      </c>
      <c r="AD17" s="5" t="s">
        <v>48</v>
      </c>
      <c r="AE17" s="5" t="s">
        <v>48</v>
      </c>
      <c r="AF17" s="6" t="s">
        <v>49</v>
      </c>
      <c r="AG17" s="5" t="s">
        <v>48</v>
      </c>
      <c r="AH17" s="5" t="s">
        <v>48</v>
      </c>
      <c r="AI17" s="5" t="s">
        <v>48</v>
      </c>
      <c r="AJ17" s="7">
        <f>COUNTIF(E17:AI17, "ح")</f>
      </c>
      <c r="AK17" s="7">
        <f>COUNTIF(E17:AI17, "غ")</f>
      </c>
      <c r="AL17" s="7">
        <f>COUNTIF(E17:AI17, "ج")</f>
      </c>
      <c r="AM17" s="7">
        <f>COUNTIF(E17:AI17, "خ")</f>
      </c>
      <c r="AN17" s="8" t="s">
        <v>50</v>
      </c>
    </row>
    <row r="18" ht="20" customHeight="1" spans="1:40" x14ac:dyDescent="0.25">
      <c r="A18" s="9">
        <v>14</v>
      </c>
      <c r="B18" s="9" t="s">
        <v>86</v>
      </c>
      <c r="C18" s="9" t="s">
        <v>87</v>
      </c>
      <c r="D18" s="9" t="s">
        <v>88</v>
      </c>
      <c r="E18" s="10" t="s">
        <v>48</v>
      </c>
      <c r="F18" s="10" t="s">
        <v>48</v>
      </c>
      <c r="G18" s="10" t="s">
        <v>48</v>
      </c>
      <c r="H18" s="10" t="s">
        <v>48</v>
      </c>
      <c r="I18" s="10" t="s">
        <v>48</v>
      </c>
      <c r="J18" s="10" t="s">
        <v>48</v>
      </c>
      <c r="K18" s="11" t="s">
        <v>49</v>
      </c>
      <c r="L18" s="10" t="s">
        <v>48</v>
      </c>
      <c r="M18" s="10" t="s">
        <v>48</v>
      </c>
      <c r="N18" s="10" t="s">
        <v>48</v>
      </c>
      <c r="O18" s="10" t="s">
        <v>48</v>
      </c>
      <c r="P18" s="10" t="s">
        <v>48</v>
      </c>
      <c r="Q18" s="10" t="s">
        <v>48</v>
      </c>
      <c r="R18" s="11" t="s">
        <v>49</v>
      </c>
      <c r="S18" s="10" t="s">
        <v>48</v>
      </c>
      <c r="T18" s="10" t="s">
        <v>48</v>
      </c>
      <c r="U18" s="10" t="s">
        <v>48</v>
      </c>
      <c r="V18" s="10" t="s">
        <v>48</v>
      </c>
      <c r="W18" s="10" t="s">
        <v>48</v>
      </c>
      <c r="X18" s="10" t="s">
        <v>48</v>
      </c>
      <c r="Y18" s="11" t="s">
        <v>49</v>
      </c>
      <c r="Z18" s="12" t="s">
        <v>54</v>
      </c>
      <c r="AA18" s="10" t="s">
        <v>48</v>
      </c>
      <c r="AB18" s="10" t="s">
        <v>48</v>
      </c>
      <c r="AC18" s="10" t="s">
        <v>48</v>
      </c>
      <c r="AD18" s="10" t="s">
        <v>48</v>
      </c>
      <c r="AE18" s="10" t="s">
        <v>48</v>
      </c>
      <c r="AF18" s="11" t="s">
        <v>49</v>
      </c>
      <c r="AG18" s="10" t="s">
        <v>48</v>
      </c>
      <c r="AH18" s="10" t="s">
        <v>48</v>
      </c>
      <c r="AI18" s="10" t="s">
        <v>48</v>
      </c>
      <c r="AJ18" s="7">
        <f>COUNTIF(E18:AI18, "ح")</f>
      </c>
      <c r="AK18" s="7">
        <f>COUNTIF(E18:AI18, "غ")</f>
      </c>
      <c r="AL18" s="7">
        <f>COUNTIF(E18:AI18, "ج")</f>
      </c>
      <c r="AM18" s="7">
        <f>COUNTIF(E18:AI18, "خ")</f>
      </c>
      <c r="AN18" s="13" t="s">
        <v>50</v>
      </c>
    </row>
    <row r="19" ht="20" customHeight="1" spans="1:40" x14ac:dyDescent="0.25">
      <c r="A19" s="4">
        <v>15</v>
      </c>
      <c r="B19" s="4" t="s">
        <v>89</v>
      </c>
      <c r="C19" s="4" t="s">
        <v>90</v>
      </c>
      <c r="D19" s="4" t="s">
        <v>91</v>
      </c>
      <c r="E19" s="5" t="s">
        <v>48</v>
      </c>
      <c r="F19" s="5" t="s">
        <v>48</v>
      </c>
      <c r="G19" s="5" t="s">
        <v>48</v>
      </c>
      <c r="H19" s="5" t="s">
        <v>48</v>
      </c>
      <c r="I19" s="5" t="s">
        <v>48</v>
      </c>
      <c r="J19" s="5" t="s">
        <v>48</v>
      </c>
      <c r="K19" s="6" t="s">
        <v>49</v>
      </c>
      <c r="L19" s="5" t="s">
        <v>48</v>
      </c>
      <c r="M19" s="5" t="s">
        <v>48</v>
      </c>
      <c r="N19" s="5" t="s">
        <v>48</v>
      </c>
      <c r="O19" s="5" t="s">
        <v>48</v>
      </c>
      <c r="P19" s="5" t="s">
        <v>48</v>
      </c>
      <c r="Q19" s="5" t="s">
        <v>48</v>
      </c>
      <c r="R19" s="6" t="s">
        <v>49</v>
      </c>
      <c r="S19" s="5" t="s">
        <v>48</v>
      </c>
      <c r="T19" s="5" t="s">
        <v>48</v>
      </c>
      <c r="U19" s="5" t="s">
        <v>48</v>
      </c>
      <c r="V19" s="5" t="s">
        <v>48</v>
      </c>
      <c r="W19" s="5" t="s">
        <v>48</v>
      </c>
      <c r="X19" s="5" t="s">
        <v>48</v>
      </c>
      <c r="Y19" s="6" t="s">
        <v>49</v>
      </c>
      <c r="Z19" s="5" t="s">
        <v>48</v>
      </c>
      <c r="AA19" s="5" t="s">
        <v>48</v>
      </c>
      <c r="AB19" s="5" t="s">
        <v>48</v>
      </c>
      <c r="AC19" s="5" t="s">
        <v>48</v>
      </c>
      <c r="AD19" s="5" t="s">
        <v>48</v>
      </c>
      <c r="AE19" s="5" t="s">
        <v>48</v>
      </c>
      <c r="AF19" s="6" t="s">
        <v>49</v>
      </c>
      <c r="AG19" s="5" t="s">
        <v>48</v>
      </c>
      <c r="AH19" s="5" t="s">
        <v>48</v>
      </c>
      <c r="AI19" s="5" t="s">
        <v>48</v>
      </c>
      <c r="AJ19" s="7">
        <f>COUNTIF(E19:AI19, "ح")</f>
      </c>
      <c r="AK19" s="7">
        <f>COUNTIF(E19:AI19, "غ")</f>
      </c>
      <c r="AL19" s="7">
        <f>COUNTIF(E19:AI19, "ج")</f>
      </c>
      <c r="AM19" s="7">
        <f>COUNTIF(E19:AI19, "خ")</f>
      </c>
      <c r="AN19" s="8" t="s">
        <v>50</v>
      </c>
    </row>
    <row r="20" ht="20" customHeight="1" spans="1:40" x14ac:dyDescent="0.25">
      <c r="A20" s="9">
        <v>16</v>
      </c>
      <c r="B20" s="9" t="s">
        <v>92</v>
      </c>
      <c r="C20" s="9" t="s">
        <v>93</v>
      </c>
      <c r="D20" s="9" t="s">
        <v>94</v>
      </c>
      <c r="E20" s="10" t="s">
        <v>48</v>
      </c>
      <c r="F20" s="10" t="s">
        <v>48</v>
      </c>
      <c r="G20" s="10" t="s">
        <v>48</v>
      </c>
      <c r="H20" s="10" t="s">
        <v>48</v>
      </c>
      <c r="I20" s="10" t="s">
        <v>48</v>
      </c>
      <c r="J20" s="10" t="s">
        <v>48</v>
      </c>
      <c r="K20" s="11" t="s">
        <v>49</v>
      </c>
      <c r="L20" s="10" t="s">
        <v>48</v>
      </c>
      <c r="M20" s="10" t="s">
        <v>48</v>
      </c>
      <c r="N20" s="10" t="s">
        <v>48</v>
      </c>
      <c r="O20" s="10" t="s">
        <v>48</v>
      </c>
      <c r="P20" s="10" t="s">
        <v>48</v>
      </c>
      <c r="Q20" s="10" t="s">
        <v>48</v>
      </c>
      <c r="R20" s="11" t="s">
        <v>49</v>
      </c>
      <c r="S20" s="10" t="s">
        <v>48</v>
      </c>
      <c r="T20" s="10" t="s">
        <v>48</v>
      </c>
      <c r="U20" s="10" t="s">
        <v>48</v>
      </c>
      <c r="V20" s="10" t="s">
        <v>48</v>
      </c>
      <c r="W20" s="10" t="s">
        <v>48</v>
      </c>
      <c r="X20" s="10" t="s">
        <v>48</v>
      </c>
      <c r="Y20" s="11" t="s">
        <v>49</v>
      </c>
      <c r="Z20" s="10" t="s">
        <v>48</v>
      </c>
      <c r="AA20" s="10" t="s">
        <v>48</v>
      </c>
      <c r="AB20" s="10" t="s">
        <v>48</v>
      </c>
      <c r="AC20" s="10" t="s">
        <v>48</v>
      </c>
      <c r="AD20" s="10" t="s">
        <v>48</v>
      </c>
      <c r="AE20" s="10" t="s">
        <v>48</v>
      </c>
      <c r="AF20" s="11" t="s">
        <v>49</v>
      </c>
      <c r="AG20" s="10" t="s">
        <v>48</v>
      </c>
      <c r="AH20" s="10" t="s">
        <v>48</v>
      </c>
      <c r="AI20" s="10" t="s">
        <v>48</v>
      </c>
      <c r="AJ20" s="7">
        <f>COUNTIF(E20:AI20, "ح")</f>
      </c>
      <c r="AK20" s="7">
        <f>COUNTIF(E20:AI20, "غ")</f>
      </c>
      <c r="AL20" s="7">
        <f>COUNTIF(E20:AI20, "ج")</f>
      </c>
      <c r="AM20" s="7">
        <f>COUNTIF(E20:AI20, "خ")</f>
      </c>
      <c r="AN20" s="13" t="s">
        <v>50</v>
      </c>
    </row>
    <row r="21" ht="20" customHeight="1" spans="1:40" x14ac:dyDescent="0.25">
      <c r="A21" s="4">
        <v>17</v>
      </c>
      <c r="B21" s="4" t="s">
        <v>95</v>
      </c>
      <c r="C21" s="4" t="s">
        <v>96</v>
      </c>
      <c r="D21" s="4" t="s">
        <v>97</v>
      </c>
      <c r="E21" s="5" t="s">
        <v>48</v>
      </c>
      <c r="F21" s="5" t="s">
        <v>48</v>
      </c>
      <c r="G21" s="5" t="s">
        <v>48</v>
      </c>
      <c r="H21" s="5" t="s">
        <v>48</v>
      </c>
      <c r="I21" s="5" t="s">
        <v>48</v>
      </c>
      <c r="J21" s="5" t="s">
        <v>48</v>
      </c>
      <c r="K21" s="6" t="s">
        <v>49</v>
      </c>
      <c r="L21" s="5" t="s">
        <v>48</v>
      </c>
      <c r="M21" s="5" t="s">
        <v>48</v>
      </c>
      <c r="N21" s="5" t="s">
        <v>48</v>
      </c>
      <c r="O21" s="5" t="s">
        <v>48</v>
      </c>
      <c r="P21" s="5" t="s">
        <v>48</v>
      </c>
      <c r="Q21" s="5" t="s">
        <v>48</v>
      </c>
      <c r="R21" s="6" t="s">
        <v>49</v>
      </c>
      <c r="S21" s="5" t="s">
        <v>48</v>
      </c>
      <c r="T21" s="5" t="s">
        <v>48</v>
      </c>
      <c r="U21" s="5" t="s">
        <v>48</v>
      </c>
      <c r="V21" s="5" t="s">
        <v>48</v>
      </c>
      <c r="W21" s="5" t="s">
        <v>48</v>
      </c>
      <c r="X21" s="5" t="s">
        <v>48</v>
      </c>
      <c r="Y21" s="6" t="s">
        <v>49</v>
      </c>
      <c r="Z21" s="5" t="s">
        <v>48</v>
      </c>
      <c r="AA21" s="5" t="s">
        <v>48</v>
      </c>
      <c r="AB21" s="5" t="s">
        <v>48</v>
      </c>
      <c r="AC21" s="5" t="s">
        <v>48</v>
      </c>
      <c r="AD21" s="5" t="s">
        <v>48</v>
      </c>
      <c r="AE21" s="5" t="s">
        <v>48</v>
      </c>
      <c r="AF21" s="6" t="s">
        <v>49</v>
      </c>
      <c r="AG21" s="5" t="s">
        <v>48</v>
      </c>
      <c r="AH21" s="5" t="s">
        <v>48</v>
      </c>
      <c r="AI21" s="5" t="s">
        <v>48</v>
      </c>
      <c r="AJ21" s="7">
        <f>COUNTIF(E21:AI21, "ح")</f>
      </c>
      <c r="AK21" s="7">
        <f>COUNTIF(E21:AI21, "غ")</f>
      </c>
      <c r="AL21" s="7">
        <f>COUNTIF(E21:AI21, "ج")</f>
      </c>
      <c r="AM21" s="7">
        <f>COUNTIF(E21:AI21, "خ")</f>
      </c>
      <c r="AN21" s="8" t="s">
        <v>50</v>
      </c>
    </row>
    <row r="22" ht="20" customHeight="1" spans="1:40" x14ac:dyDescent="0.25">
      <c r="A22" s="9">
        <v>18</v>
      </c>
      <c r="B22" s="9" t="s">
        <v>98</v>
      </c>
      <c r="C22" s="9" t="s">
        <v>99</v>
      </c>
      <c r="D22" s="9" t="s">
        <v>100</v>
      </c>
      <c r="E22" s="10" t="s">
        <v>48</v>
      </c>
      <c r="F22" s="10" t="s">
        <v>48</v>
      </c>
      <c r="G22" s="10" t="s">
        <v>48</v>
      </c>
      <c r="H22" s="10" t="s">
        <v>48</v>
      </c>
      <c r="I22" s="10" t="s">
        <v>48</v>
      </c>
      <c r="J22" s="10" t="s">
        <v>48</v>
      </c>
      <c r="K22" s="11" t="s">
        <v>49</v>
      </c>
      <c r="L22" s="10" t="s">
        <v>48</v>
      </c>
      <c r="M22" s="10" t="s">
        <v>48</v>
      </c>
      <c r="N22" s="10" t="s">
        <v>48</v>
      </c>
      <c r="O22" s="10" t="s">
        <v>48</v>
      </c>
      <c r="P22" s="10" t="s">
        <v>48</v>
      </c>
      <c r="Q22" s="10" t="s">
        <v>48</v>
      </c>
      <c r="R22" s="11" t="s">
        <v>49</v>
      </c>
      <c r="S22" s="14" t="s">
        <v>58</v>
      </c>
      <c r="T22" s="10" t="s">
        <v>48</v>
      </c>
      <c r="U22" s="10" t="s">
        <v>48</v>
      </c>
      <c r="V22" s="10" t="s">
        <v>48</v>
      </c>
      <c r="W22" s="10" t="s">
        <v>48</v>
      </c>
      <c r="X22" s="10" t="s">
        <v>48</v>
      </c>
      <c r="Y22" s="11" t="s">
        <v>49</v>
      </c>
      <c r="Z22" s="12" t="s">
        <v>54</v>
      </c>
      <c r="AA22" s="10" t="s">
        <v>48</v>
      </c>
      <c r="AB22" s="10" t="s">
        <v>48</v>
      </c>
      <c r="AC22" s="10" t="s">
        <v>48</v>
      </c>
      <c r="AD22" s="10" t="s">
        <v>48</v>
      </c>
      <c r="AE22" s="10" t="s">
        <v>48</v>
      </c>
      <c r="AF22" s="11" t="s">
        <v>49</v>
      </c>
      <c r="AG22" s="10" t="s">
        <v>48</v>
      </c>
      <c r="AH22" s="10" t="s">
        <v>48</v>
      </c>
      <c r="AI22" s="10" t="s">
        <v>48</v>
      </c>
      <c r="AJ22" s="7">
        <f>COUNTIF(E22:AI22, "ح")</f>
      </c>
      <c r="AK22" s="7">
        <f>COUNTIF(E22:AI22, "غ")</f>
      </c>
      <c r="AL22" s="7">
        <f>COUNTIF(E22:AI22, "ج")</f>
      </c>
      <c r="AM22" s="7">
        <f>COUNTIF(E22:AI22, "خ")</f>
      </c>
      <c r="AN22" s="13" t="s">
        <v>50</v>
      </c>
    </row>
    <row r="23" ht="20" customHeight="1" spans="1:40" x14ac:dyDescent="0.25">
      <c r="A23" s="4">
        <v>19</v>
      </c>
      <c r="B23" s="4" t="s">
        <v>101</v>
      </c>
      <c r="C23" s="4" t="s">
        <v>102</v>
      </c>
      <c r="D23" s="4" t="s">
        <v>103</v>
      </c>
      <c r="E23" s="5" t="s">
        <v>48</v>
      </c>
      <c r="F23" s="5" t="s">
        <v>48</v>
      </c>
      <c r="G23" s="5" t="s">
        <v>48</v>
      </c>
      <c r="H23" s="5" t="s">
        <v>48</v>
      </c>
      <c r="I23" s="5" t="s">
        <v>48</v>
      </c>
      <c r="J23" s="5" t="s">
        <v>48</v>
      </c>
      <c r="K23" s="6" t="s">
        <v>49</v>
      </c>
      <c r="L23" s="5" t="s">
        <v>48</v>
      </c>
      <c r="M23" s="5" t="s">
        <v>48</v>
      </c>
      <c r="N23" s="5" t="s">
        <v>48</v>
      </c>
      <c r="O23" s="5" t="s">
        <v>48</v>
      </c>
      <c r="P23" s="5" t="s">
        <v>48</v>
      </c>
      <c r="Q23" s="5" t="s">
        <v>48</v>
      </c>
      <c r="R23" s="6" t="s">
        <v>49</v>
      </c>
      <c r="S23" s="5" t="s">
        <v>48</v>
      </c>
      <c r="T23" s="5" t="s">
        <v>48</v>
      </c>
      <c r="U23" s="5" t="s">
        <v>48</v>
      </c>
      <c r="V23" s="5" t="s">
        <v>48</v>
      </c>
      <c r="W23" s="5" t="s">
        <v>48</v>
      </c>
      <c r="X23" s="5" t="s">
        <v>48</v>
      </c>
      <c r="Y23" s="6" t="s">
        <v>49</v>
      </c>
      <c r="Z23" s="5" t="s">
        <v>48</v>
      </c>
      <c r="AA23" s="5" t="s">
        <v>48</v>
      </c>
      <c r="AB23" s="5" t="s">
        <v>48</v>
      </c>
      <c r="AC23" s="5" t="s">
        <v>48</v>
      </c>
      <c r="AD23" s="5" t="s">
        <v>48</v>
      </c>
      <c r="AE23" s="5" t="s">
        <v>48</v>
      </c>
      <c r="AF23" s="6" t="s">
        <v>49</v>
      </c>
      <c r="AG23" s="5" t="s">
        <v>48</v>
      </c>
      <c r="AH23" s="5" t="s">
        <v>48</v>
      </c>
      <c r="AI23" s="5" t="s">
        <v>48</v>
      </c>
      <c r="AJ23" s="7">
        <f>COUNTIF(E23:AI23, "ح")</f>
      </c>
      <c r="AK23" s="7">
        <f>COUNTIF(E23:AI23, "غ")</f>
      </c>
      <c r="AL23" s="7">
        <f>COUNTIF(E23:AI23, "ج")</f>
      </c>
      <c r="AM23" s="7">
        <f>COUNTIF(E23:AI23, "خ")</f>
      </c>
      <c r="AN23" s="8" t="s">
        <v>50</v>
      </c>
    </row>
    <row r="24" ht="20" customHeight="1" spans="1:40" x14ac:dyDescent="0.25">
      <c r="A24" s="9">
        <v>20</v>
      </c>
      <c r="B24" s="9" t="s">
        <v>104</v>
      </c>
      <c r="C24" s="9" t="s">
        <v>105</v>
      </c>
      <c r="D24" s="9" t="s">
        <v>106</v>
      </c>
      <c r="E24" s="10" t="s">
        <v>48</v>
      </c>
      <c r="F24" s="10" t="s">
        <v>48</v>
      </c>
      <c r="G24" s="10" t="s">
        <v>48</v>
      </c>
      <c r="H24" s="10" t="s">
        <v>48</v>
      </c>
      <c r="I24" s="10" t="s">
        <v>48</v>
      </c>
      <c r="J24" s="10" t="s">
        <v>48</v>
      </c>
      <c r="K24" s="11" t="s">
        <v>49</v>
      </c>
      <c r="L24" s="10" t="s">
        <v>48</v>
      </c>
      <c r="M24" s="10" t="s">
        <v>48</v>
      </c>
      <c r="N24" s="10" t="s">
        <v>48</v>
      </c>
      <c r="O24" s="10" t="s">
        <v>48</v>
      </c>
      <c r="P24" s="10" t="s">
        <v>48</v>
      </c>
      <c r="Q24" s="10" t="s">
        <v>48</v>
      </c>
      <c r="R24" s="11" t="s">
        <v>49</v>
      </c>
      <c r="S24" s="10" t="s">
        <v>48</v>
      </c>
      <c r="T24" s="10" t="s">
        <v>48</v>
      </c>
      <c r="U24" s="10" t="s">
        <v>48</v>
      </c>
      <c r="V24" s="10" t="s">
        <v>48</v>
      </c>
      <c r="W24" s="10" t="s">
        <v>48</v>
      </c>
      <c r="X24" s="10" t="s">
        <v>48</v>
      </c>
      <c r="Y24" s="11" t="s">
        <v>49</v>
      </c>
      <c r="Z24" s="10" t="s">
        <v>48</v>
      </c>
      <c r="AA24" s="10" t="s">
        <v>48</v>
      </c>
      <c r="AB24" s="10" t="s">
        <v>48</v>
      </c>
      <c r="AC24" s="10" t="s">
        <v>48</v>
      </c>
      <c r="AD24" s="10" t="s">
        <v>48</v>
      </c>
      <c r="AE24" s="10" t="s">
        <v>48</v>
      </c>
      <c r="AF24" s="11" t="s">
        <v>49</v>
      </c>
      <c r="AG24" s="10" t="s">
        <v>48</v>
      </c>
      <c r="AH24" s="10" t="s">
        <v>48</v>
      </c>
      <c r="AI24" s="10" t="s">
        <v>48</v>
      </c>
      <c r="AJ24" s="7">
        <f>COUNTIF(E24:AI24, "ح")</f>
      </c>
      <c r="AK24" s="7">
        <f>COUNTIF(E24:AI24, "غ")</f>
      </c>
      <c r="AL24" s="7">
        <f>COUNTIF(E24:AI24, "ج")</f>
      </c>
      <c r="AM24" s="7">
        <f>COUNTIF(E24:AI24, "خ")</f>
      </c>
      <c r="AN24" s="13" t="s">
        <v>50</v>
      </c>
    </row>
    <row r="25" ht="24" customHeight="1" spans="1:40" x14ac:dyDescent="0.25">
      <c r="A25" s="15" t="s">
        <v>107</v>
      </c>
      <c r="B25" s="15" t="s">
        <v>107</v>
      </c>
      <c r="C25" s="15" t="s">
        <v>108</v>
      </c>
      <c r="D25" s="15" t="s">
        <v>107</v>
      </c>
      <c r="E25" s="15">
        <f>COUNTIF(E5:E24, "ح")</f>
      </c>
      <c r="F25" s="15">
        <f>COUNTIF(F5:F24, "ح")</f>
      </c>
      <c r="G25" s="15">
        <f>COUNTIF(G5:G24, "ح")</f>
      </c>
      <c r="H25" s="15">
        <f>COUNTIF(H5:H24, "ح")</f>
      </c>
      <c r="I25" s="15">
        <f>COUNTIF(I5:I24, "ح")</f>
      </c>
      <c r="J25" s="15">
        <f>COUNTIF(J5:J24, "ح")</f>
      </c>
      <c r="K25" s="15">
        <f>COUNTIF(K5:K24, "ح")</f>
      </c>
      <c r="L25" s="15">
        <f>COUNTIF(L5:L24, "ح")</f>
      </c>
      <c r="M25" s="15">
        <f>COUNTIF(M5:M24, "ح")</f>
      </c>
      <c r="N25" s="15">
        <f>COUNTIF(N5:N24, "ح")</f>
      </c>
      <c r="O25" s="15">
        <f>COUNTIF(O5:O24, "ح")</f>
      </c>
      <c r="P25" s="15">
        <f>COUNTIF(P5:P24, "ح")</f>
      </c>
      <c r="Q25" s="15">
        <f>COUNTIF(Q5:Q24, "ح")</f>
      </c>
      <c r="R25" s="15">
        <f>COUNTIF(R5:R24, "ح")</f>
      </c>
      <c r="S25" s="15">
        <f>COUNTIF(S5:S24, "ح")</f>
      </c>
      <c r="T25" s="15">
        <f>COUNTIF(T5:T24, "ح")</f>
      </c>
      <c r="U25" s="15">
        <f>COUNTIF(U5:U24, "ح")</f>
      </c>
      <c r="V25" s="15">
        <f>COUNTIF(V5:V24, "ح")</f>
      </c>
      <c r="W25" s="15">
        <f>COUNTIF(W5:W24, "ح")</f>
      </c>
      <c r="X25" s="15">
        <f>COUNTIF(X5:X24, "ح")</f>
      </c>
      <c r="Y25" s="15">
        <f>COUNTIF(Y5:Y24, "ح")</f>
      </c>
      <c r="Z25" s="15">
        <f>COUNTIF(Z5:Z24, "ح")</f>
      </c>
      <c r="AA25" s="15">
        <f>COUNTIF(AA5:AA24, "ح")</f>
      </c>
      <c r="AB25" s="15">
        <f>COUNTIF(AB5:AB24, "ح")</f>
      </c>
      <c r="AC25" s="15">
        <f>COUNTIF(AC5:AC24, "ح")</f>
      </c>
      <c r="AD25" s="15">
        <f>COUNTIF(AD5:AD24, "ح")</f>
      </c>
      <c r="AE25" s="15">
        <f>COUNTIF(AE5:AE24, "ح")</f>
      </c>
      <c r="AF25" s="15">
        <f>COUNTIF(AF5:AF24, "ح")</f>
      </c>
      <c r="AG25" s="15">
        <f>COUNTIF(AG5:AG24, "ح")</f>
      </c>
      <c r="AH25" s="15">
        <f>COUNTIF(AH5:AH24, "ح")</f>
      </c>
      <c r="AI25" s="15">
        <f>COUNTIF(AI5:AI24, "ح")</f>
      </c>
      <c r="AJ25" s="15">
        <f>SUM(AJ5:AJ24)</f>
      </c>
      <c r="AK25" s="15">
        <f>SUM(AK5:AK24)</f>
      </c>
      <c r="AL25" s="15">
        <f>SUM(AL5:AL24)</f>
      </c>
      <c r="AM25" s="15">
        <f>SUM(AM5:AM24)</f>
      </c>
      <c r="AN25" s="15" t="s">
        <v>107</v>
      </c>
    </row>
  </sheetData>
  <mergeCells count="5">
    <mergeCell ref="A1:AK1"/>
    <mergeCell ref="A2:D2"/>
    <mergeCell ref="E2:Q2"/>
    <mergeCell ref="R2:AD2"/>
    <mergeCell ref="AE2:AK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كشف الحضور (المجموعة 1)</vt:lpstr>
      <vt:lpstr>كشف الحضور (المجموعة 2)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Accounting &amp; HR System</dc:creator>
  <dc:title/>
  <dc:subject/>
  <dc:description/>
  <cp:keywords/>
  <cp:category/>
  <cp:lastModifiedBy>Unknown</cp:lastModifiedBy>
  <dcterms:created xsi:type="dcterms:W3CDTF">2026-08-15T11:18:09Z</dcterms:created>
  <dcterms:modified xsi:type="dcterms:W3CDTF">2026-08-15T11:18:09Z</dcterms:modified>
</cp:coreProperties>
</file>