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كشف الرواتب والتقييم الشهري" state="visible" r:id="rId4"/>
    <sheet sheetId="2" name="دليل وشروط حساب المرتبات" state="visible" r:id="rId5"/>
  </sheets>
  <calcPr calcId="171027"/>
</workbook>
</file>

<file path=xl/sharedStrings.xml><?xml version="1.0" encoding="utf-8"?>
<sst xmlns="http://schemas.openxmlformats.org/spreadsheetml/2006/main" count="72" uniqueCount="58">
  <si>
    <t>🏨 فندق هينو الأهرامات — كشف الرواتب وتقييم الأداء الشهري (Payroll &amp; KPI Sheet)</t>
  </si>
  <si>
    <t>كود</t>
  </si>
  <si>
    <t>اسم الموظف</t>
  </si>
  <si>
    <t>القسم / الوظيفة</t>
  </si>
  <si>
    <t>الراتب الشامل</t>
  </si>
  <si>
    <t>الراتب الأساسي (75%)</t>
  </si>
  <si>
    <t>حافز الـ KPI المتاح (25%)</t>
  </si>
  <si>
    <t>تقييم الأداء (من 100)</t>
  </si>
  <si>
    <t>نسبة استحقاق الحافز</t>
  </si>
  <si>
    <t>حافز الأداء المستحق</t>
  </si>
  <si>
    <t>أيام الغياب</t>
  </si>
  <si>
    <t>خصم الغياب (جـ)</t>
  </si>
  <si>
    <t>أيام الجزاءات</t>
  </si>
  <si>
    <t>خصم الجزاءات (جـ)</t>
  </si>
  <si>
    <t>خصم السلف</t>
  </si>
  <si>
    <t>إجمالي الخصومات</t>
  </si>
  <si>
    <t>صافي الراتب المدفوع</t>
  </si>
  <si>
    <t>التوقيع بالاستلام</t>
  </si>
  <si>
    <t>EMP-101</t>
  </si>
  <si>
    <t>أحمد محمود علي</t>
  </si>
  <si>
    <t>مشرف استقبال</t>
  </si>
  <si>
    <t/>
  </si>
  <si>
    <t>EMP-102</t>
  </si>
  <si>
    <t>محمد حسن إبراهيم</t>
  </si>
  <si>
    <t>موظف استقبال</t>
  </si>
  <si>
    <t>EMP-103</t>
  </si>
  <si>
    <t>أميرة عبد العزيز</t>
  </si>
  <si>
    <t>مشرفة غرف</t>
  </si>
  <si>
    <t>EMP-104</t>
  </si>
  <si>
    <t>سيد مصطفى طه</t>
  </si>
  <si>
    <t>عامل نظافة غرف</t>
  </si>
  <si>
    <t>EMP-105</t>
  </si>
  <si>
    <t>حسين علي كمال</t>
  </si>
  <si>
    <t>EMP-106</t>
  </si>
  <si>
    <t>خالد رجب سلامة</t>
  </si>
  <si>
    <t>مدير مطعم وكافيه</t>
  </si>
  <si>
    <t>EMP-107</t>
  </si>
  <si>
    <t>إسلام يوسف أحمد</t>
  </si>
  <si>
    <t>ويتر كافيه</t>
  </si>
  <si>
    <t>EMP-108</t>
  </si>
  <si>
    <t>مصطفى ربيع جابر</t>
  </si>
  <si>
    <t>الإجمالي الكلي</t>
  </si>
  <si>
    <t>8 موظف</t>
  </si>
  <si>
    <t>-</t>
  </si>
  <si>
    <t>💡 قواعد وشروط حساب أجور وحوافز فندق هينو الأهرامات</t>
  </si>
  <si>
    <t>معادلة هيكلة الراتب:</t>
  </si>
  <si>
    <t>الراتب الشامل يتقسم إلى: 75% راتب أساسي ثابت + 25% حافز تقييم أداء متغيّر (KPIs).</t>
  </si>
  <si>
    <t>معيار استحقاق حافز الـ KPI (من 100):</t>
  </si>
  <si>
    <t>• تقييم 90% إلى 100% ⬅️ صرف 100% من الحافز المتاح.</t>
  </si>
  <si>
    <t>• تقييم 80% إلى 89% ⬅️ صرف 75% من الحافز المتاح.</t>
  </si>
  <si>
    <t>• تقييم 70% إلى 79% ⬅️ صرف 50% من الحافز المتاح.</t>
  </si>
  <si>
    <t>• تقييم أقل من 70% ⬅️ صرف 0% من الحافز (حرمان لحين التحسين).</t>
  </si>
  <si>
    <t>معادلة خصم الغياب:</t>
  </si>
  <si>
    <t>خصم قيمة أجر يوم الغياب = (الراتب الأساسي 75% ÷ 30 يوم) × عدد أيام الغياب.</t>
  </si>
  <si>
    <t>معادلة خصم الجزاءات:</t>
  </si>
  <si>
    <t>خصم الجزاء الإداري = (الراتب الأساسي 75% ÷ 30 يوم) × عدد أيام الجزاء.</t>
  </si>
  <si>
    <t>صافي الراتب المدفوع:</t>
  </si>
  <si>
    <t>صافي المرتب = الراتب الأساسي + حافز الـ KPI المستحق - (خصم الغياب + الجزاءات + السلفيات).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</si>
</sst>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&quot; جـ&quot;"/>
  </numFmts>
  <fonts count="10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b/>
      <color rgb="FFFFFFFF"/>
      <sz val="10"/>
      <name val="Arial"/>
    </font>
    <font>
      <sz val="9.5"/>
      <name val="Arial"/>
    </font>
    <font>
      <b/>
      <color rgb="FF1F4E78"/>
      <sz val="9.5"/>
      <name val="Arial"/>
    </font>
    <font>
      <b/>
      <color rgb="FF276749"/>
      <sz val="10"/>
      <name val="Arial"/>
    </font>
    <font>
      <b/>
      <color rgb="FF1F4E78"/>
      <sz val="10"/>
      <name val="Arial"/>
    </font>
    <font>
      <b/>
      <color rgb="FFFFFFFF"/>
      <sz val="15"/>
      <name val="Arial"/>
    </font>
    <font>
      <b/>
      <color rgb="FF1F4E78"/>
      <sz val="11"/>
      <name val="Arial"/>
    </font>
    <font>
      <sz val="10.5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9FAFB"/>
      </patternFill>
    </fill>
    <fill>
      <patternFill patternType="solid">
        <fgColor rgb="E6F4EA"/>
      </patternFill>
    </fill>
    <fill>
      <patternFill patternType="solid">
        <fgColor rgb="FFFFFF"/>
      </patternFill>
    </fill>
    <fill>
      <patternFill patternType="solid">
        <fgColor rgb="D9E1F2"/>
      </patternFill>
    </fill>
    <fill>
      <patternFill patternType="solid">
        <fgColor rgb="FF375623"/>
      </patternFill>
    </fill>
  </fills>
  <borders count="4">
    <border>
      <left/>
      <right/>
      <top/>
      <bottom/>
      <diagonal/>
    </border>
    <border>
      <left style="thin">
        <color rgb="CCCCCC"/>
      </left>
      <right style="thin">
        <color rgb="CCCCCC"/>
      </right>
      <top style="thin">
        <color rgb="CCCCCC"/>
      </top>
      <bottom style="medium">
        <color rgb="1F4E78"/>
      </bottom>
      <diagonal/>
    </border>
    <border>
      <left style="thin">
        <color rgb="E5E7EB"/>
      </left>
      <right style="thin">
        <color rgb="E5E7EB"/>
      </right>
      <top style="thin">
        <color rgb="E5E7EB"/>
      </top>
      <bottom style="thin">
        <color rgb="E5E7EB"/>
      </bottom>
      <diagonal/>
    </border>
    <border>
      <left style="thin">
        <color rgb="B4C6E7"/>
      </left>
      <right style="thin">
        <color rgb="B4C6E7"/>
      </right>
      <top style="double">
        <color rgb="1F4E78"/>
      </top>
      <bottom style="double">
        <color rgb="1F4E7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9" fontId="4" fillId="4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right" vertical="center"/>
    </xf>
    <xf numFmtId="164" fontId="3" fillId="6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9" fontId="4" fillId="6" borderId="2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64" fontId="6" fillId="7" borderId="3" xfId="0" applyNumberFormat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 rightToLeft="1"/>
  </sheetViews>
  <sheetFormatPr defaultRowHeight="15" outlineLevelRow="0" outlineLevelCol="0" x14ac:dyDescent="55"/>
  <cols>
    <col min="1" max="1" width="12" customWidth="1"/>
    <col min="2" max="3" width="22" customWidth="1"/>
    <col min="4" max="6" width="16" customWidth="1"/>
    <col min="7" max="8" width="14" customWidth="1"/>
    <col min="9" max="9" width="16" customWidth="1"/>
    <col min="10" max="10" width="12" customWidth="1"/>
    <col min="11" max="11" width="14" customWidth="1"/>
    <col min="12" max="12" width="12" customWidth="1"/>
    <col min="13" max="14" width="14" customWidth="1"/>
    <col min="15" max="15" width="16" customWidth="1"/>
    <col min="16" max="16" width="18" customWidth="1"/>
    <col min="17" max="17" width="20" customWidth="1"/>
  </cols>
  <sheetData>
    <row r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ht="30" customHeight="1" spans="1:17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</row>
    <row r="4" ht="24" customHeight="1" spans="1:17" x14ac:dyDescent="0.25">
      <c r="A4" s="3" t="s">
        <v>18</v>
      </c>
      <c r="B4" s="3" t="s">
        <v>19</v>
      </c>
      <c r="C4" s="3" t="s">
        <v>20</v>
      </c>
      <c r="D4" s="4">
        <v>7000</v>
      </c>
      <c r="E4" s="4">
        <f>D4*0.75</f>
      </c>
      <c r="F4" s="4">
        <f>D4*0.25</f>
      </c>
      <c r="G4" s="5">
        <v>95</v>
      </c>
      <c r="H4" s="6">
        <f>IF(G4&gt;=90,1,IF(G4&gt;=80,0.75,IF(G4&gt;=70,0.5,0)))</f>
      </c>
      <c r="I4" s="4">
        <f>F4*H4</f>
      </c>
      <c r="J4" s="5">
        <v>0</v>
      </c>
      <c r="K4" s="4">
        <f>ROUND((E4/30)*J4, 2)</f>
      </c>
      <c r="L4" s="5">
        <v>0</v>
      </c>
      <c r="M4" s="4">
        <f>ROUND((E4/30)*L4, 2)</f>
      </c>
      <c r="N4" s="4">
        <v>500</v>
      </c>
      <c r="O4" s="4">
        <f>K4+M4+N4</f>
      </c>
      <c r="P4" s="7">
        <f>E4+I4-O4</f>
      </c>
      <c r="Q4" s="5" t="s">
        <v>21</v>
      </c>
    </row>
    <row r="5" ht="24" customHeight="1" spans="1:17" x14ac:dyDescent="0.25">
      <c r="A5" s="8" t="s">
        <v>22</v>
      </c>
      <c r="B5" s="8" t="s">
        <v>23</v>
      </c>
      <c r="C5" s="8" t="s">
        <v>24</v>
      </c>
      <c r="D5" s="9">
        <v>5500</v>
      </c>
      <c r="E5" s="9">
        <f>D5*0.75</f>
      </c>
      <c r="F5" s="9">
        <f>D5*0.25</f>
      </c>
      <c r="G5" s="10">
        <v>88</v>
      </c>
      <c r="H5" s="11">
        <f>IF(G5&gt;=90,1,IF(G5&gt;=80,0.75,IF(G5&gt;=70,0.5,0)))</f>
      </c>
      <c r="I5" s="9">
        <f>F5*H5</f>
      </c>
      <c r="J5" s="10">
        <v>1</v>
      </c>
      <c r="K5" s="9">
        <f>ROUND((E5/30)*J5, 2)</f>
      </c>
      <c r="L5" s="10">
        <v>0</v>
      </c>
      <c r="M5" s="9">
        <f>ROUND((E5/30)*L5, 2)</f>
      </c>
      <c r="N5" s="9">
        <v>0</v>
      </c>
      <c r="O5" s="9">
        <f>K5+M5+N5</f>
      </c>
      <c r="P5" s="7">
        <f>E5+I5-O5</f>
      </c>
      <c r="Q5" s="10" t="s">
        <v>21</v>
      </c>
    </row>
    <row r="6" ht="24" customHeight="1" spans="1:17" x14ac:dyDescent="0.25">
      <c r="A6" s="3" t="s">
        <v>25</v>
      </c>
      <c r="B6" s="3" t="s">
        <v>26</v>
      </c>
      <c r="C6" s="3" t="s">
        <v>27</v>
      </c>
      <c r="D6" s="4">
        <v>6000</v>
      </c>
      <c r="E6" s="4">
        <f>D6*0.75</f>
      </c>
      <c r="F6" s="4">
        <f>D6*0.25</f>
      </c>
      <c r="G6" s="5">
        <v>92</v>
      </c>
      <c r="H6" s="6">
        <f>IF(G6&gt;=90,1,IF(G6&gt;=80,0.75,IF(G6&gt;=70,0.5,0)))</f>
      </c>
      <c r="I6" s="4">
        <f>F6*H6</f>
      </c>
      <c r="J6" s="5">
        <v>0</v>
      </c>
      <c r="K6" s="4">
        <f>ROUND((E6/30)*J6, 2)</f>
      </c>
      <c r="L6" s="5">
        <v>0</v>
      </c>
      <c r="M6" s="4">
        <f>ROUND((E6/30)*L6, 2)</f>
      </c>
      <c r="N6" s="4">
        <v>300</v>
      </c>
      <c r="O6" s="4">
        <f>K6+M6+N6</f>
      </c>
      <c r="P6" s="7">
        <f>E6+I6-O6</f>
      </c>
      <c r="Q6" s="5" t="s">
        <v>21</v>
      </c>
    </row>
    <row r="7" ht="24" customHeight="1" spans="1:17" x14ac:dyDescent="0.25">
      <c r="A7" s="8" t="s">
        <v>28</v>
      </c>
      <c r="B7" s="8" t="s">
        <v>29</v>
      </c>
      <c r="C7" s="8" t="s">
        <v>30</v>
      </c>
      <c r="D7" s="9">
        <v>4500</v>
      </c>
      <c r="E7" s="9">
        <f>D7*0.75</f>
      </c>
      <c r="F7" s="9">
        <f>D7*0.25</f>
      </c>
      <c r="G7" s="10">
        <v>82</v>
      </c>
      <c r="H7" s="11">
        <f>IF(G7&gt;=90,1,IF(G7&gt;=80,0.75,IF(G7&gt;=70,0.5,0)))</f>
      </c>
      <c r="I7" s="9">
        <f>F7*H7</f>
      </c>
      <c r="J7" s="10">
        <v>2</v>
      </c>
      <c r="K7" s="9">
        <f>ROUND((E7/30)*J7, 2)</f>
      </c>
      <c r="L7" s="10">
        <v>1</v>
      </c>
      <c r="M7" s="9">
        <f>ROUND((E7/30)*L7, 2)</f>
      </c>
      <c r="N7" s="9">
        <v>200</v>
      </c>
      <c r="O7" s="9">
        <f>K7+M7+N7</f>
      </c>
      <c r="P7" s="7">
        <f>E7+I7-O7</f>
      </c>
      <c r="Q7" s="10" t="s">
        <v>21</v>
      </c>
    </row>
    <row r="8" ht="24" customHeight="1" spans="1:17" x14ac:dyDescent="0.25">
      <c r="A8" s="3" t="s">
        <v>31</v>
      </c>
      <c r="B8" s="3" t="s">
        <v>32</v>
      </c>
      <c r="C8" s="3" t="s">
        <v>30</v>
      </c>
      <c r="D8" s="4">
        <v>4500</v>
      </c>
      <c r="E8" s="4">
        <f>D8*0.75</f>
      </c>
      <c r="F8" s="4">
        <f>D8*0.25</f>
      </c>
      <c r="G8" s="5">
        <v>75</v>
      </c>
      <c r="H8" s="6">
        <f>IF(G8&gt;=90,1,IF(G8&gt;=80,0.75,IF(G8&gt;=70,0.5,0)))</f>
      </c>
      <c r="I8" s="4">
        <f>F8*H8</f>
      </c>
      <c r="J8" s="5">
        <v>1</v>
      </c>
      <c r="K8" s="4">
        <f>ROUND((E8/30)*J8, 2)</f>
      </c>
      <c r="L8" s="5">
        <v>0</v>
      </c>
      <c r="M8" s="4">
        <f>ROUND((E8/30)*L8, 2)</f>
      </c>
      <c r="N8" s="4">
        <v>0</v>
      </c>
      <c r="O8" s="4">
        <f>K8+M8+N8</f>
      </c>
      <c r="P8" s="7">
        <f>E8+I8-O8</f>
      </c>
      <c r="Q8" s="5" t="s">
        <v>21</v>
      </c>
    </row>
    <row r="9" ht="24" customHeight="1" spans="1:17" x14ac:dyDescent="0.25">
      <c r="A9" s="8" t="s">
        <v>33</v>
      </c>
      <c r="B9" s="8" t="s">
        <v>34</v>
      </c>
      <c r="C9" s="8" t="s">
        <v>35</v>
      </c>
      <c r="D9" s="9">
        <v>8000</v>
      </c>
      <c r="E9" s="9">
        <f>D9*0.75</f>
      </c>
      <c r="F9" s="9">
        <f>D9*0.25</f>
      </c>
      <c r="G9" s="10">
        <v>96</v>
      </c>
      <c r="H9" s="11">
        <f>IF(G9&gt;=90,1,IF(G9&gt;=80,0.75,IF(G9&gt;=70,0.5,0)))</f>
      </c>
      <c r="I9" s="9">
        <f>F9*H9</f>
      </c>
      <c r="J9" s="10">
        <v>0</v>
      </c>
      <c r="K9" s="9">
        <f>ROUND((E9/30)*J9, 2)</f>
      </c>
      <c r="L9" s="10">
        <v>0</v>
      </c>
      <c r="M9" s="9">
        <f>ROUND((E9/30)*L9, 2)</f>
      </c>
      <c r="N9" s="9">
        <v>1000</v>
      </c>
      <c r="O9" s="9">
        <f>K9+M9+N9</f>
      </c>
      <c r="P9" s="7">
        <f>E9+I9-O9</f>
      </c>
      <c r="Q9" s="10" t="s">
        <v>21</v>
      </c>
    </row>
    <row r="10" ht="24" customHeight="1" spans="1:17" x14ac:dyDescent="0.25">
      <c r="A10" s="3" t="s">
        <v>36</v>
      </c>
      <c r="B10" s="3" t="s">
        <v>37</v>
      </c>
      <c r="C10" s="3" t="s">
        <v>38</v>
      </c>
      <c r="D10" s="4">
        <v>4800</v>
      </c>
      <c r="E10" s="4">
        <f>D10*0.75</f>
      </c>
      <c r="F10" s="4">
        <f>D10*0.25</f>
      </c>
      <c r="G10" s="5">
        <v>85</v>
      </c>
      <c r="H10" s="6">
        <f>IF(G10&gt;=90,1,IF(G10&gt;=80,0.75,IF(G10&gt;=70,0.5,0)))</f>
      </c>
      <c r="I10" s="4">
        <f>F10*H10</f>
      </c>
      <c r="J10" s="5">
        <v>0</v>
      </c>
      <c r="K10" s="4">
        <f>ROUND((E10/30)*J10, 2)</f>
      </c>
      <c r="L10" s="5">
        <v>1</v>
      </c>
      <c r="M10" s="4">
        <f>ROUND((E10/30)*L10, 2)</f>
      </c>
      <c r="N10" s="4">
        <v>0</v>
      </c>
      <c r="O10" s="4">
        <f>K10+M10+N10</f>
      </c>
      <c r="P10" s="7">
        <f>E10+I10-O10</f>
      </c>
      <c r="Q10" s="5" t="s">
        <v>21</v>
      </c>
    </row>
    <row r="11" ht="24" customHeight="1" spans="1:17" x14ac:dyDescent="0.25">
      <c r="A11" s="8" t="s">
        <v>39</v>
      </c>
      <c r="B11" s="8" t="s">
        <v>40</v>
      </c>
      <c r="C11" s="8" t="s">
        <v>38</v>
      </c>
      <c r="D11" s="9">
        <v>4800</v>
      </c>
      <c r="E11" s="9">
        <f>D11*0.75</f>
      </c>
      <c r="F11" s="9">
        <f>D11*0.25</f>
      </c>
      <c r="G11" s="10">
        <v>68</v>
      </c>
      <c r="H11" s="11">
        <f>IF(G11&gt;=90,1,IF(G11&gt;=80,0.75,IF(G11&gt;=70,0.5,0)))</f>
      </c>
      <c r="I11" s="9">
        <f>F11*H11</f>
      </c>
      <c r="J11" s="10">
        <v>3</v>
      </c>
      <c r="K11" s="9">
        <f>ROUND((E11/30)*J11, 2)</f>
      </c>
      <c r="L11" s="10">
        <v>2</v>
      </c>
      <c r="M11" s="9">
        <f>ROUND((E11/30)*L11, 2)</f>
      </c>
      <c r="N11" s="9">
        <v>400</v>
      </c>
      <c r="O11" s="9">
        <f>K11+M11+N11</f>
      </c>
      <c r="P11" s="7">
        <f>E11+I11-O11</f>
      </c>
      <c r="Q11" s="10" t="s">
        <v>21</v>
      </c>
    </row>
    <row r="12" ht="28" customHeight="1" spans="1:17" x14ac:dyDescent="0.25">
      <c r="A12" s="12" t="s">
        <v>41</v>
      </c>
      <c r="B12" s="12" t="s">
        <v>42</v>
      </c>
      <c r="C12" s="12" t="s">
        <v>43</v>
      </c>
      <c r="D12" s="13">
        <f>SUM(D4:D11)</f>
      </c>
      <c r="E12" s="13">
        <f>SUM(E4:E11)</f>
      </c>
      <c r="F12" s="13">
        <f>SUM(F4:F11)</f>
      </c>
      <c r="G12" s="12">
        <f>AVERAGE(G4:G11)</f>
      </c>
      <c r="H12" s="12" t="s">
        <v>43</v>
      </c>
      <c r="I12" s="13">
        <f>SUM(I4:I11)</f>
      </c>
      <c r="J12" s="12">
        <f>SUM(J4:J11)</f>
      </c>
      <c r="K12" s="13">
        <f>SUM(K4:K11)</f>
      </c>
      <c r="L12" s="12">
        <f>SUM(L4:L11)</f>
      </c>
      <c r="M12" s="13">
        <f>SUM(M4:M11)</f>
      </c>
      <c r="N12" s="13">
        <f>SUM(N4:N11)</f>
      </c>
      <c r="O12" s="13">
        <f>SUM(O4:O11)</f>
      </c>
      <c r="P12" s="13">
        <f>SUM(P4:P11)</f>
      </c>
      <c r="Q12" s="12" t="s">
        <v>43</v>
      </c>
    </row>
  </sheetData>
  <mergeCells count="1">
    <mergeCell ref="A1:Q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 rightToLeft="1"/>
  </sheetViews>
  <sheetFormatPr defaultRowHeight="15" outlineLevelRow="0" outlineLevelCol="0" x14ac:dyDescent="55"/>
  <cols>
    <col min="1" max="1" width="30" customWidth="1"/>
    <col min="2" max="2" width="80" customWidth="1"/>
  </cols>
  <sheetData>
    <row r="1" spans="1:5" x14ac:dyDescent="0.25">
      <c r="A1" s="14" t="s">
        <v>44</v>
      </c>
      <c r="B1" s="14"/>
      <c r="C1" s="14"/>
      <c r="D1" s="14"/>
      <c r="E1" s="14"/>
    </row>
    <row r="3" ht="24" customHeight="1" spans="1:2" x14ac:dyDescent="0.25">
      <c r="A3" s="15" t="s">
        <v>45</v>
      </c>
      <c r="B3" s="16" t="s">
        <v>46</v>
      </c>
    </row>
    <row r="4" ht="24" customHeight="1" spans="1:2" x14ac:dyDescent="0.25">
      <c r="A4" s="15" t="s">
        <v>47</v>
      </c>
      <c r="B4" s="16" t="s">
        <v>48</v>
      </c>
    </row>
    <row r="5" ht="24" customHeight="1" spans="1:2" x14ac:dyDescent="0.25">
      <c r="A5" s="15" t="s">
        <v>21</v>
      </c>
      <c r="B5" s="16" t="s">
        <v>49</v>
      </c>
    </row>
    <row r="6" ht="24" customHeight="1" spans="1:2" x14ac:dyDescent="0.25">
      <c r="A6" s="15" t="s">
        <v>21</v>
      </c>
      <c r="B6" s="16" t="s">
        <v>50</v>
      </c>
    </row>
    <row r="7" ht="24" customHeight="1" spans="1:2" x14ac:dyDescent="0.25">
      <c r="A7" s="15" t="s">
        <v>21</v>
      </c>
      <c r="B7" s="16" t="s">
        <v>51</v>
      </c>
    </row>
    <row r="8" ht="24" customHeight="1" spans="1:2" x14ac:dyDescent="0.25">
      <c r="A8" s="15" t="s">
        <v>52</v>
      </c>
      <c r="B8" s="16" t="s">
        <v>53</v>
      </c>
    </row>
    <row r="9" ht="24" customHeight="1" spans="1:2" x14ac:dyDescent="0.25">
      <c r="A9" s="15" t="s">
        <v>54</v>
      </c>
      <c r="B9" s="16" t="s">
        <v>55</v>
      </c>
    </row>
    <row r="10" ht="24" customHeight="1" spans="1:2" x14ac:dyDescent="0.25">
      <c r="A10" s="15" t="s">
        <v>56</v>
      </c>
      <c r="B10" s="16" t="s">
        <v>57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كشف الرواتب والتقييم الشهري</vt:lpstr>
      <vt:lpstr>دليل وشروط حساب المرتبات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Antigravity Accounting &amp; HR System</dc:creator>
  <dc:title/>
  <dc:subject/>
  <dc:description/>
  <cp:keywords/>
  <cp:category/>
  <cp:lastModifiedBy>Unknown</cp:lastModifiedBy>
  <dcterms:created xsi:type="dcterms:W3CDTF">2026-08-15T10:44:44Z</dcterms:created>
  <dcterms:modified xsi:type="dcterms:W3CDTF">2026-08-15T10:44:44Z</dcterms:modified>
</cp:coreProperties>
</file>