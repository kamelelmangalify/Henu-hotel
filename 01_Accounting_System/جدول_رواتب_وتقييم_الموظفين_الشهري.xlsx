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كشف الرواتب والتقييم الشهري" state="visible" r:id="rId4"/>
    <sheet sheetId="2" name="دليل وشروط حساب المرتبات" state="visible" r:id="rId5"/>
  </sheets>
  <calcPr calcId="171027"/>
</workbook>
</file>

<file path=xl/sharedStrings.xml><?xml version="1.0" encoding="utf-8"?>
<sst xmlns="http://schemas.openxmlformats.org/spreadsheetml/2006/main" count="160" uniqueCount="122">
  <si>
    <t>🏨 فندق هينو الأهرامات — كشف الرواتب وتقييم الأداء الشهري الشامل (30 موظف)</t>
  </si>
  <si>
    <t>كود الموظف</t>
  </si>
  <si>
    <t>اسم الموظف</t>
  </si>
  <si>
    <t>القسم / الوظيفة</t>
  </si>
  <si>
    <t>الراتب الشامل</t>
  </si>
  <si>
    <t>الراتب الأساسي (75%)</t>
  </si>
  <si>
    <t>حافز الـ KPI المتاح (25%)</t>
  </si>
  <si>
    <t>تقييم الأداء (من 100)</t>
  </si>
  <si>
    <t>نسبة استحقاق الحافز</t>
  </si>
  <si>
    <t>حافز الأداء المستحق</t>
  </si>
  <si>
    <t>أيام الغياب</t>
  </si>
  <si>
    <t>خصم الغياب (جـ)</t>
  </si>
  <si>
    <t>أيام الجزاءات</t>
  </si>
  <si>
    <t>خصم الجزاءات (جـ)</t>
  </si>
  <si>
    <t>خصم السلف</t>
  </si>
  <si>
    <t>إجمالي الخصومات</t>
  </si>
  <si>
    <t>صافي الراتب المدفوع</t>
  </si>
  <si>
    <t>التوقيع بالاستلام</t>
  </si>
  <si>
    <t>EMP-101</t>
  </si>
  <si>
    <t>أحمد محمود علي</t>
  </si>
  <si>
    <t>مشرف استقبال</t>
  </si>
  <si>
    <t/>
  </si>
  <si>
    <t>EMP-102</t>
  </si>
  <si>
    <t>محمد حسن إبراهيم</t>
  </si>
  <si>
    <t>موظف استقبال نهار</t>
  </si>
  <si>
    <t>EMP-103</t>
  </si>
  <si>
    <t>عمر خالد فوزي</t>
  </si>
  <si>
    <t>موظف استقبال ليل</t>
  </si>
  <si>
    <t>EMP-104</t>
  </si>
  <si>
    <t>نور الدين طارق</t>
  </si>
  <si>
    <t>موظف استقبال</t>
  </si>
  <si>
    <t>EMP-105</t>
  </si>
  <si>
    <t>مريم عادل القاضي</t>
  </si>
  <si>
    <t>مأمور علاقات نزلاء</t>
  </si>
  <si>
    <t>EMP-106</t>
  </si>
  <si>
    <t>مصطفى كمال الدين</t>
  </si>
  <si>
    <t>مساعد استقبال</t>
  </si>
  <si>
    <t>EMP-107</t>
  </si>
  <si>
    <t>أميرة عبد العزيز</t>
  </si>
  <si>
    <t>مشرفة الإشراف الداخلي</t>
  </si>
  <si>
    <t>EMP-108</t>
  </si>
  <si>
    <t>سيد مصطفى طه</t>
  </si>
  <si>
    <t>عامل غرف أول</t>
  </si>
  <si>
    <t>EMP-109</t>
  </si>
  <si>
    <t>حسين علي كمال</t>
  </si>
  <si>
    <t>عامل تنظيف غرف</t>
  </si>
  <si>
    <t>EMP-110</t>
  </si>
  <si>
    <t>إبراهيم خليفة</t>
  </si>
  <si>
    <t>EMP-111</t>
  </si>
  <si>
    <t>رمضان فتحي</t>
  </si>
  <si>
    <t>EMP-112</t>
  </si>
  <si>
    <t>عاطف منصور</t>
  </si>
  <si>
    <t>EMP-113</t>
  </si>
  <si>
    <t>حسن شحاتة</t>
  </si>
  <si>
    <t>عامل غسيل وكتانيات</t>
  </si>
  <si>
    <t>EMP-114</t>
  </si>
  <si>
    <t>زينب أحمد السيد</t>
  </si>
  <si>
    <t>عامله نظافة أماكن عامة</t>
  </si>
  <si>
    <t>EMP-115</t>
  </si>
  <si>
    <t>فاطمة محمود</t>
  </si>
  <si>
    <t>EMP-116</t>
  </si>
  <si>
    <t>محمود جابر</t>
  </si>
  <si>
    <t>عامل نظافة ممرات</t>
  </si>
  <si>
    <t>EMP-117</t>
  </si>
  <si>
    <t>علي عبد السميع</t>
  </si>
  <si>
    <t>مساعد إشراف داخلي</t>
  </si>
  <si>
    <t>EMP-118</t>
  </si>
  <si>
    <t>فتحي رجب</t>
  </si>
  <si>
    <t>عامل نظافة وأماكن عامة</t>
  </si>
  <si>
    <t>EMP-119</t>
  </si>
  <si>
    <t>خالد رجب سلامة</t>
  </si>
  <si>
    <t>مدير مطعم وكافيه</t>
  </si>
  <si>
    <t>EMP-120</t>
  </si>
  <si>
    <t>طارق صلاح الدين</t>
  </si>
  <si>
    <t>مشرف أغذية ومشروبات</t>
  </si>
  <si>
    <t>EMP-121</t>
  </si>
  <si>
    <t>إسلام يوسف أحمد</t>
  </si>
  <si>
    <t>ويتر كافيه رئيسي</t>
  </si>
  <si>
    <t>EMP-122</t>
  </si>
  <si>
    <t>مصطفى ربيع جابر</t>
  </si>
  <si>
    <t>ويتر كافيه</t>
  </si>
  <si>
    <t>EMP-123</t>
  </si>
  <si>
    <t>وليد صبري</t>
  </si>
  <si>
    <t>ويتر مطعم إفطار</t>
  </si>
  <si>
    <t>EMP-124</t>
  </si>
  <si>
    <t>كريم شعبان</t>
  </si>
  <si>
    <t>باريستا بائع كافيه</t>
  </si>
  <si>
    <t>EMP-125</t>
  </si>
  <si>
    <t>سامح فاروق</t>
  </si>
  <si>
    <t>مساعد ويتر تجهيز</t>
  </si>
  <si>
    <t>EMP-126</t>
  </si>
  <si>
    <t>أحمد بدوي</t>
  </si>
  <si>
    <t>عامل غسيل أطباق وتجهيز</t>
  </si>
  <si>
    <t>EMP-127</t>
  </si>
  <si>
    <t>المهندس تامر فؤاد</t>
  </si>
  <si>
    <t>مشرف صيانة الفندق</t>
  </si>
  <si>
    <t>EMP-128</t>
  </si>
  <si>
    <t>جمال عبد المعطي</t>
  </si>
  <si>
    <t>فني كهرباء وسباكة</t>
  </si>
  <si>
    <t>EMP-129</t>
  </si>
  <si>
    <t>رفعت عبد الصمد</t>
  </si>
  <si>
    <t>سائق ومسؤول خدمات</t>
  </si>
  <si>
    <t>EMP-130</t>
  </si>
  <si>
    <t>صبحي عبد العال</t>
  </si>
  <si>
    <t>مسؤول أمن وحراسة</t>
  </si>
  <si>
    <t>الإجمالي الكلي</t>
  </si>
  <si>
    <t>30 موظف</t>
  </si>
  <si>
    <t>-</t>
  </si>
  <si>
    <t>💡 قواعد وشروط حساب أجور وحوافز فندق هينو الأهرامات (30 موظف)</t>
  </si>
  <si>
    <t>معادلة هيكلة الراتب:</t>
  </si>
  <si>
    <t>الراتب الشامل يتقسم إلى: 75% راتب أساسي ثابت + 25% حافز تقييم أداء متغيّر (KPIs).</t>
  </si>
  <si>
    <t>معيار استحقاق حافز الـ KPI (من 100):</t>
  </si>
  <si>
    <t>• تقييم 90% إلى 100% ⬅️ صرف 100% من الحافز المتاح.</t>
  </si>
  <si>
    <t>• تقييم 80% إلى 89% ⬅️ صرف 75% من الحافز المتاح.</t>
  </si>
  <si>
    <t>• تقييم 70% إلى 79% ⬅️ صرف 50% من الحافز المتاح.</t>
  </si>
  <si>
    <t>• تقييم أقل من 70% ⬅️ صرف 0% من الحافز (حرمان لحين التحسين).</t>
  </si>
  <si>
    <t>معادلة خصم الغياب:</t>
  </si>
  <si>
    <t>خصم قيمة أجر يوم الغياب = (الراتب الأساسي 75% ÷ 30 يوم) × عدد أيام الغياب.</t>
  </si>
  <si>
    <t>معادلة خصم الجزاءات:</t>
  </si>
  <si>
    <t>خصم الجزاء الإداري = (الراتب الأساسي 75% ÷ 30 يوم) × عدد أيام الجزاء.</t>
  </si>
  <si>
    <t>صافي الراتب المدفوع:</t>
  </si>
  <si>
    <t>صافي المرتب = الراتب الأساسي + حافز الـ KPI المستحق - (خصم الغياب + الجزاءات + السلفيات).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</si>
</sst>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&quot; جـ&quot;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b/>
      <color rgb="FFFFFFFF"/>
      <sz val="10"/>
      <name val="Arial"/>
    </font>
    <font>
      <sz val="9.5"/>
      <name val="Arial"/>
    </font>
    <font>
      <b/>
      <color rgb="FF1F4E78"/>
      <sz val="9.5"/>
      <name val="Arial"/>
    </font>
    <font>
      <b/>
      <color rgb="FF276749"/>
      <sz val="9.5"/>
      <name val="Arial"/>
    </font>
    <font>
      <b/>
      <color rgb="FF1F4E78"/>
      <sz val="10"/>
      <name val="Arial"/>
    </font>
    <font>
      <b/>
      <color rgb="FFFFFFFF"/>
      <sz val="15"/>
      <name val="Arial"/>
    </font>
    <font>
      <b/>
      <color rgb="FF1F4E78"/>
      <sz val="11"/>
      <name val="Arial"/>
    </font>
    <font>
      <sz val="10.5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9FAFB"/>
      </patternFill>
    </fill>
    <fill>
      <patternFill patternType="solid">
        <fgColor rgb="E6F4EA"/>
      </patternFill>
    </fill>
    <fill>
      <patternFill patternType="solid">
        <fgColor rgb="FFFFFF"/>
      </patternFill>
    </fill>
    <fill>
      <patternFill patternType="solid">
        <fgColor rgb="D9E1F2"/>
      </patternFill>
    </fill>
    <fill>
      <patternFill patternType="solid">
        <fgColor rgb="FF375623"/>
      </patternFill>
    </fill>
  </fills>
  <borders count="4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medium">
        <color rgb="1F4E78"/>
      </bottom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  <border>
      <left style="thin">
        <color rgb="B4C6E7"/>
      </left>
      <right style="thin">
        <color rgb="B4C6E7"/>
      </right>
      <top style="double">
        <color rgb="1F4E78"/>
      </top>
      <bottom style="double">
        <color rgb="1F4E7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9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right" vertical="center"/>
    </xf>
    <xf numFmtId="164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9" fontId="4" fillId="6" borderId="2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 rightToLeft="1"/>
  </sheetViews>
  <sheetFormatPr defaultRowHeight="15" outlineLevelRow="0" outlineLevelCol="0" x14ac:dyDescent="55"/>
  <cols>
    <col min="1" max="1" width="12" customWidth="1"/>
    <col min="2" max="2" width="22" customWidth="1"/>
    <col min="3" max="3" width="24" customWidth="1"/>
    <col min="4" max="6" width="16" customWidth="1"/>
    <col min="7" max="8" width="14" customWidth="1"/>
    <col min="9" max="9" width="16" customWidth="1"/>
    <col min="10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8" customWidth="1"/>
    <col min="17" max="17" width="20" customWidth="1"/>
  </cols>
  <sheetData>
    <row r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ht="30" customHeight="1" spans="1:17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</row>
    <row r="4" ht="23" customHeight="1" spans="1:17" x14ac:dyDescent="0.25">
      <c r="A4" s="3" t="s">
        <v>18</v>
      </c>
      <c r="B4" s="3" t="s">
        <v>19</v>
      </c>
      <c r="C4" s="3" t="s">
        <v>20</v>
      </c>
      <c r="D4" s="4">
        <v>7500</v>
      </c>
      <c r="E4" s="4">
        <f>D4*0.75</f>
      </c>
      <c r="F4" s="4">
        <f>D4*0.25</f>
      </c>
      <c r="G4" s="5">
        <v>95</v>
      </c>
      <c r="H4" s="6">
        <f>IF(G4&gt;=90,1,IF(G4&gt;=80,0.75,IF(G4&gt;=70,0.5,0)))</f>
      </c>
      <c r="I4" s="4">
        <f>F4*H4</f>
      </c>
      <c r="J4" s="5">
        <v>0</v>
      </c>
      <c r="K4" s="4">
        <f>ROUND((E4/30)*J4, 2)</f>
      </c>
      <c r="L4" s="5">
        <v>0</v>
      </c>
      <c r="M4" s="4">
        <f>ROUND((E4/30)*L4, 2)</f>
      </c>
      <c r="N4" s="4">
        <v>500</v>
      </c>
      <c r="O4" s="4">
        <f>K4+M4+N4</f>
      </c>
      <c r="P4" s="7">
        <f>E4+I4-O4</f>
      </c>
      <c r="Q4" s="5" t="s">
        <v>21</v>
      </c>
    </row>
    <row r="5" ht="23" customHeight="1" spans="1:17" x14ac:dyDescent="0.25">
      <c r="A5" s="8" t="s">
        <v>22</v>
      </c>
      <c r="B5" s="8" t="s">
        <v>23</v>
      </c>
      <c r="C5" s="8" t="s">
        <v>24</v>
      </c>
      <c r="D5" s="9">
        <v>5800</v>
      </c>
      <c r="E5" s="9">
        <f>D5*0.75</f>
      </c>
      <c r="F5" s="9">
        <f>D5*0.25</f>
      </c>
      <c r="G5" s="10">
        <v>88</v>
      </c>
      <c r="H5" s="11">
        <f>IF(G5&gt;=90,1,IF(G5&gt;=80,0.75,IF(G5&gt;=70,0.5,0)))</f>
      </c>
      <c r="I5" s="9">
        <f>F5*H5</f>
      </c>
      <c r="J5" s="10">
        <v>1</v>
      </c>
      <c r="K5" s="9">
        <f>ROUND((E5/30)*J5, 2)</f>
      </c>
      <c r="L5" s="10">
        <v>0</v>
      </c>
      <c r="M5" s="9">
        <f>ROUND((E5/30)*L5, 2)</f>
      </c>
      <c r="N5" s="9">
        <v>0</v>
      </c>
      <c r="O5" s="9">
        <f>K5+M5+N5</f>
      </c>
      <c r="P5" s="7">
        <f>E5+I5-O5</f>
      </c>
      <c r="Q5" s="10" t="s">
        <v>21</v>
      </c>
    </row>
    <row r="6" ht="23" customHeight="1" spans="1:17" x14ac:dyDescent="0.25">
      <c r="A6" s="3" t="s">
        <v>25</v>
      </c>
      <c r="B6" s="3" t="s">
        <v>26</v>
      </c>
      <c r="C6" s="3" t="s">
        <v>27</v>
      </c>
      <c r="D6" s="4">
        <v>5800</v>
      </c>
      <c r="E6" s="4">
        <f>D6*0.75</f>
      </c>
      <c r="F6" s="4">
        <f>D6*0.25</f>
      </c>
      <c r="G6" s="5">
        <v>92</v>
      </c>
      <c r="H6" s="6">
        <f>IF(G6&gt;=90,1,IF(G6&gt;=80,0.75,IF(G6&gt;=70,0.5,0)))</f>
      </c>
      <c r="I6" s="4">
        <f>F6*H6</f>
      </c>
      <c r="J6" s="5">
        <v>0</v>
      </c>
      <c r="K6" s="4">
        <f>ROUND((E6/30)*J6, 2)</f>
      </c>
      <c r="L6" s="5">
        <v>0</v>
      </c>
      <c r="M6" s="4">
        <f>ROUND((E6/30)*L6, 2)</f>
      </c>
      <c r="N6" s="4">
        <v>300</v>
      </c>
      <c r="O6" s="4">
        <f>K6+M6+N6</f>
      </c>
      <c r="P6" s="7">
        <f>E6+I6-O6</f>
      </c>
      <c r="Q6" s="5" t="s">
        <v>21</v>
      </c>
    </row>
    <row r="7" ht="23" customHeight="1" spans="1:17" x14ac:dyDescent="0.25">
      <c r="A7" s="8" t="s">
        <v>28</v>
      </c>
      <c r="B7" s="8" t="s">
        <v>29</v>
      </c>
      <c r="C7" s="8" t="s">
        <v>30</v>
      </c>
      <c r="D7" s="9">
        <v>5500</v>
      </c>
      <c r="E7" s="9">
        <f>D7*0.75</f>
      </c>
      <c r="F7" s="9">
        <f>D7*0.25</f>
      </c>
      <c r="G7" s="10">
        <v>84</v>
      </c>
      <c r="H7" s="11">
        <f>IF(G7&gt;=90,1,IF(G7&gt;=80,0.75,IF(G7&gt;=70,0.5,0)))</f>
      </c>
      <c r="I7" s="9">
        <f>F7*H7</f>
      </c>
      <c r="J7" s="10">
        <v>0</v>
      </c>
      <c r="K7" s="9">
        <f>ROUND((E7/30)*J7, 2)</f>
      </c>
      <c r="L7" s="10">
        <v>1</v>
      </c>
      <c r="M7" s="9">
        <f>ROUND((E7/30)*L7, 2)</f>
      </c>
      <c r="N7" s="9">
        <v>0</v>
      </c>
      <c r="O7" s="9">
        <f>K7+M7+N7</f>
      </c>
      <c r="P7" s="7">
        <f>E7+I7-O7</f>
      </c>
      <c r="Q7" s="10" t="s">
        <v>21</v>
      </c>
    </row>
    <row r="8" ht="23" customHeight="1" spans="1:17" x14ac:dyDescent="0.25">
      <c r="A8" s="3" t="s">
        <v>31</v>
      </c>
      <c r="B8" s="3" t="s">
        <v>32</v>
      </c>
      <c r="C8" s="3" t="s">
        <v>33</v>
      </c>
      <c r="D8" s="4">
        <v>6000</v>
      </c>
      <c r="E8" s="4">
        <f>D8*0.75</f>
      </c>
      <c r="F8" s="4">
        <f>D8*0.25</f>
      </c>
      <c r="G8" s="5">
        <v>96</v>
      </c>
      <c r="H8" s="6">
        <f>IF(G8&gt;=90,1,IF(G8&gt;=80,0.75,IF(G8&gt;=70,0.5,0)))</f>
      </c>
      <c r="I8" s="4">
        <f>F8*H8</f>
      </c>
      <c r="J8" s="5">
        <v>0</v>
      </c>
      <c r="K8" s="4">
        <f>ROUND((E8/30)*J8, 2)</f>
      </c>
      <c r="L8" s="5">
        <v>0</v>
      </c>
      <c r="M8" s="4">
        <f>ROUND((E8/30)*L8, 2)</f>
      </c>
      <c r="N8" s="4">
        <v>200</v>
      </c>
      <c r="O8" s="4">
        <f>K8+M8+N8</f>
      </c>
      <c r="P8" s="7">
        <f>E8+I8-O8</f>
      </c>
      <c r="Q8" s="5" t="s">
        <v>21</v>
      </c>
    </row>
    <row r="9" ht="23" customHeight="1" spans="1:17" x14ac:dyDescent="0.25">
      <c r="A9" s="8" t="s">
        <v>34</v>
      </c>
      <c r="B9" s="8" t="s">
        <v>35</v>
      </c>
      <c r="C9" s="8" t="s">
        <v>36</v>
      </c>
      <c r="D9" s="9">
        <v>4800</v>
      </c>
      <c r="E9" s="9">
        <f>D9*0.75</f>
      </c>
      <c r="F9" s="9">
        <f>D9*0.25</f>
      </c>
      <c r="G9" s="10">
        <v>78</v>
      </c>
      <c r="H9" s="11">
        <f>IF(G9&gt;=90,1,IF(G9&gt;=80,0.75,IF(G9&gt;=70,0.5,0)))</f>
      </c>
      <c r="I9" s="9">
        <f>F9*H9</f>
      </c>
      <c r="J9" s="10">
        <v>1</v>
      </c>
      <c r="K9" s="9">
        <f>ROUND((E9/30)*J9, 2)</f>
      </c>
      <c r="L9" s="10">
        <v>0</v>
      </c>
      <c r="M9" s="9">
        <f>ROUND((E9/30)*L9, 2)</f>
      </c>
      <c r="N9" s="9">
        <v>150</v>
      </c>
      <c r="O9" s="9">
        <f>K9+M9+N9</f>
      </c>
      <c r="P9" s="7">
        <f>E9+I9-O9</f>
      </c>
      <c r="Q9" s="10" t="s">
        <v>21</v>
      </c>
    </row>
    <row r="10" ht="23" customHeight="1" spans="1:17" x14ac:dyDescent="0.25">
      <c r="A10" s="3" t="s">
        <v>37</v>
      </c>
      <c r="B10" s="3" t="s">
        <v>38</v>
      </c>
      <c r="C10" s="3" t="s">
        <v>39</v>
      </c>
      <c r="D10" s="4">
        <v>6500</v>
      </c>
      <c r="E10" s="4">
        <f>D10*0.75</f>
      </c>
      <c r="F10" s="4">
        <f>D10*0.25</f>
      </c>
      <c r="G10" s="5">
        <v>94</v>
      </c>
      <c r="H10" s="6">
        <f>IF(G10&gt;=90,1,IF(G10&gt;=80,0.75,IF(G10&gt;=70,0.5,0)))</f>
      </c>
      <c r="I10" s="4">
        <f>F10*H10</f>
      </c>
      <c r="J10" s="5">
        <v>0</v>
      </c>
      <c r="K10" s="4">
        <f>ROUND((E10/30)*J10, 2)</f>
      </c>
      <c r="L10" s="5">
        <v>0</v>
      </c>
      <c r="M10" s="4">
        <f>ROUND((E10/30)*L10, 2)</f>
      </c>
      <c r="N10" s="4">
        <v>400</v>
      </c>
      <c r="O10" s="4">
        <f>K10+M10+N10</f>
      </c>
      <c r="P10" s="7">
        <f>E10+I10-O10</f>
      </c>
      <c r="Q10" s="5" t="s">
        <v>21</v>
      </c>
    </row>
    <row r="11" ht="23" customHeight="1" spans="1:17" x14ac:dyDescent="0.25">
      <c r="A11" s="8" t="s">
        <v>40</v>
      </c>
      <c r="B11" s="8" t="s">
        <v>41</v>
      </c>
      <c r="C11" s="8" t="s">
        <v>42</v>
      </c>
      <c r="D11" s="9">
        <v>4600</v>
      </c>
      <c r="E11" s="9">
        <f>D11*0.75</f>
      </c>
      <c r="F11" s="9">
        <f>D11*0.25</f>
      </c>
      <c r="G11" s="10">
        <v>85</v>
      </c>
      <c r="H11" s="11">
        <f>IF(G11&gt;=90,1,IF(G11&gt;=80,0.75,IF(G11&gt;=70,0.5,0)))</f>
      </c>
      <c r="I11" s="9">
        <f>F11*H11</f>
      </c>
      <c r="J11" s="10">
        <v>1</v>
      </c>
      <c r="K11" s="9">
        <f>ROUND((E11/30)*J11, 2)</f>
      </c>
      <c r="L11" s="10">
        <v>0</v>
      </c>
      <c r="M11" s="9">
        <f>ROUND((E11/30)*L11, 2)</f>
      </c>
      <c r="N11" s="9">
        <v>200</v>
      </c>
      <c r="O11" s="9">
        <f>K11+M11+N11</f>
      </c>
      <c r="P11" s="7">
        <f>E11+I11-O11</f>
      </c>
      <c r="Q11" s="10" t="s">
        <v>21</v>
      </c>
    </row>
    <row r="12" ht="23" customHeight="1" spans="1:17" x14ac:dyDescent="0.25">
      <c r="A12" s="3" t="s">
        <v>43</v>
      </c>
      <c r="B12" s="3" t="s">
        <v>44</v>
      </c>
      <c r="C12" s="3" t="s">
        <v>45</v>
      </c>
      <c r="D12" s="4">
        <v>4400</v>
      </c>
      <c r="E12" s="4">
        <f>D12*0.75</f>
      </c>
      <c r="F12" s="4">
        <f>D12*0.25</f>
      </c>
      <c r="G12" s="5">
        <v>79</v>
      </c>
      <c r="H12" s="6">
        <f>IF(G12&gt;=90,1,IF(G12&gt;=80,0.75,IF(G12&gt;=70,0.5,0)))</f>
      </c>
      <c r="I12" s="4">
        <f>F12*H12</f>
      </c>
      <c r="J12" s="5">
        <v>2</v>
      </c>
      <c r="K12" s="4">
        <f>ROUND((E12/30)*J12, 2)</f>
      </c>
      <c r="L12" s="5">
        <v>1</v>
      </c>
      <c r="M12" s="4">
        <f>ROUND((E12/30)*L12, 2)</f>
      </c>
      <c r="N12" s="4">
        <v>0</v>
      </c>
      <c r="O12" s="4">
        <f>K12+M12+N12</f>
      </c>
      <c r="P12" s="7">
        <f>E12+I12-O12</f>
      </c>
      <c r="Q12" s="5" t="s">
        <v>21</v>
      </c>
    </row>
    <row r="13" ht="23" customHeight="1" spans="1:17" x14ac:dyDescent="0.25">
      <c r="A13" s="8" t="s">
        <v>46</v>
      </c>
      <c r="B13" s="8" t="s">
        <v>47</v>
      </c>
      <c r="C13" s="8" t="s">
        <v>45</v>
      </c>
      <c r="D13" s="9">
        <v>4400</v>
      </c>
      <c r="E13" s="9">
        <f>D13*0.75</f>
      </c>
      <c r="F13" s="9">
        <f>D13*0.25</f>
      </c>
      <c r="G13" s="10">
        <v>91</v>
      </c>
      <c r="H13" s="11">
        <f>IF(G13&gt;=90,1,IF(G13&gt;=80,0.75,IF(G13&gt;=70,0.5,0)))</f>
      </c>
      <c r="I13" s="9">
        <f>F13*H13</f>
      </c>
      <c r="J13" s="10">
        <v>0</v>
      </c>
      <c r="K13" s="9">
        <f>ROUND((E13/30)*J13, 2)</f>
      </c>
      <c r="L13" s="10">
        <v>0</v>
      </c>
      <c r="M13" s="9">
        <f>ROUND((E13/30)*L13, 2)</f>
      </c>
      <c r="N13" s="9">
        <v>100</v>
      </c>
      <c r="O13" s="9">
        <f>K13+M13+N13</f>
      </c>
      <c r="P13" s="7">
        <f>E13+I13-O13</f>
      </c>
      <c r="Q13" s="10" t="s">
        <v>21</v>
      </c>
    </row>
    <row r="14" ht="23" customHeight="1" spans="1:17" x14ac:dyDescent="0.25">
      <c r="A14" s="3" t="s">
        <v>48</v>
      </c>
      <c r="B14" s="3" t="s">
        <v>49</v>
      </c>
      <c r="C14" s="3" t="s">
        <v>45</v>
      </c>
      <c r="D14" s="4">
        <v>4400</v>
      </c>
      <c r="E14" s="4">
        <f>D14*0.75</f>
      </c>
      <c r="F14" s="4">
        <f>D14*0.25</f>
      </c>
      <c r="G14" s="5">
        <v>83</v>
      </c>
      <c r="H14" s="6">
        <f>IF(G14&gt;=90,1,IF(G14&gt;=80,0.75,IF(G14&gt;=70,0.5,0)))</f>
      </c>
      <c r="I14" s="4">
        <f>F14*H14</f>
      </c>
      <c r="J14" s="5">
        <v>0</v>
      </c>
      <c r="K14" s="4">
        <f>ROUND((E14/30)*J14, 2)</f>
      </c>
      <c r="L14" s="5">
        <v>0</v>
      </c>
      <c r="M14" s="4">
        <f>ROUND((E14/30)*L14, 2)</f>
      </c>
      <c r="N14" s="4">
        <v>0</v>
      </c>
      <c r="O14" s="4">
        <f>K14+M14+N14</f>
      </c>
      <c r="P14" s="7">
        <f>E14+I14-O14</f>
      </c>
      <c r="Q14" s="5" t="s">
        <v>21</v>
      </c>
    </row>
    <row r="15" ht="23" customHeight="1" spans="1:17" x14ac:dyDescent="0.25">
      <c r="A15" s="8" t="s">
        <v>50</v>
      </c>
      <c r="B15" s="8" t="s">
        <v>51</v>
      </c>
      <c r="C15" s="8" t="s">
        <v>45</v>
      </c>
      <c r="D15" s="9">
        <v>4400</v>
      </c>
      <c r="E15" s="9">
        <f>D15*0.75</f>
      </c>
      <c r="F15" s="9">
        <f>D15*0.25</f>
      </c>
      <c r="G15" s="10">
        <v>68</v>
      </c>
      <c r="H15" s="11">
        <f>IF(G15&gt;=90,1,IF(G15&gt;=80,0.75,IF(G15&gt;=70,0.5,0)))</f>
      </c>
      <c r="I15" s="9">
        <f>F15*H15</f>
      </c>
      <c r="J15" s="10">
        <v>3</v>
      </c>
      <c r="K15" s="9">
        <f>ROUND((E15/30)*J15, 2)</f>
      </c>
      <c r="L15" s="10">
        <v>2</v>
      </c>
      <c r="M15" s="9">
        <f>ROUND((E15/30)*L15, 2)</f>
      </c>
      <c r="N15" s="9">
        <v>300</v>
      </c>
      <c r="O15" s="9">
        <f>K15+M15+N15</f>
      </c>
      <c r="P15" s="7">
        <f>E15+I15-O15</f>
      </c>
      <c r="Q15" s="10" t="s">
        <v>21</v>
      </c>
    </row>
    <row r="16" ht="23" customHeight="1" spans="1:17" x14ac:dyDescent="0.25">
      <c r="A16" s="3" t="s">
        <v>52</v>
      </c>
      <c r="B16" s="3" t="s">
        <v>53</v>
      </c>
      <c r="C16" s="3" t="s">
        <v>54</v>
      </c>
      <c r="D16" s="4">
        <v>4500</v>
      </c>
      <c r="E16" s="4">
        <f>D16*0.75</f>
      </c>
      <c r="F16" s="4">
        <f>D16*0.25</f>
      </c>
      <c r="G16" s="5">
        <v>90</v>
      </c>
      <c r="H16" s="6">
        <f>IF(G16&gt;=90,1,IF(G16&gt;=80,0.75,IF(G16&gt;=70,0.5,0)))</f>
      </c>
      <c r="I16" s="4">
        <f>F16*H16</f>
      </c>
      <c r="J16" s="5">
        <v>0</v>
      </c>
      <c r="K16" s="4">
        <f>ROUND((E16/30)*J16, 2)</f>
      </c>
      <c r="L16" s="5">
        <v>0</v>
      </c>
      <c r="M16" s="4">
        <f>ROUND((E16/30)*L16, 2)</f>
      </c>
      <c r="N16" s="4">
        <v>250</v>
      </c>
      <c r="O16" s="4">
        <f>K16+M16+N16</f>
      </c>
      <c r="P16" s="7">
        <f>E16+I16-O16</f>
      </c>
      <c r="Q16" s="5" t="s">
        <v>21</v>
      </c>
    </row>
    <row r="17" ht="23" customHeight="1" spans="1:17" x14ac:dyDescent="0.25">
      <c r="A17" s="8" t="s">
        <v>55</v>
      </c>
      <c r="B17" s="8" t="s">
        <v>56</v>
      </c>
      <c r="C17" s="8" t="s">
        <v>57</v>
      </c>
      <c r="D17" s="9">
        <v>4200</v>
      </c>
      <c r="E17" s="9">
        <f>D17*0.75</f>
      </c>
      <c r="F17" s="9">
        <f>D17*0.25</f>
      </c>
      <c r="G17" s="10">
        <v>87</v>
      </c>
      <c r="H17" s="11">
        <f>IF(G17&gt;=90,1,IF(G17&gt;=80,0.75,IF(G17&gt;=70,0.5,0)))</f>
      </c>
      <c r="I17" s="9">
        <f>F17*H17</f>
      </c>
      <c r="J17" s="10">
        <v>0</v>
      </c>
      <c r="K17" s="9">
        <f>ROUND((E17/30)*J17, 2)</f>
      </c>
      <c r="L17" s="10">
        <v>0</v>
      </c>
      <c r="M17" s="9">
        <f>ROUND((E17/30)*L17, 2)</f>
      </c>
      <c r="N17" s="9">
        <v>0</v>
      </c>
      <c r="O17" s="9">
        <f>K17+M17+N17</f>
      </c>
      <c r="P17" s="7">
        <f>E17+I17-O17</f>
      </c>
      <c r="Q17" s="10" t="s">
        <v>21</v>
      </c>
    </row>
    <row r="18" ht="23" customHeight="1" spans="1:17" x14ac:dyDescent="0.25">
      <c r="A18" s="3" t="s">
        <v>58</v>
      </c>
      <c r="B18" s="3" t="s">
        <v>59</v>
      </c>
      <c r="C18" s="3" t="s">
        <v>57</v>
      </c>
      <c r="D18" s="4">
        <v>4200</v>
      </c>
      <c r="E18" s="4">
        <f>D18*0.75</f>
      </c>
      <c r="F18" s="4">
        <f>D18*0.25</f>
      </c>
      <c r="G18" s="5">
        <v>80</v>
      </c>
      <c r="H18" s="6">
        <f>IF(G18&gt;=90,1,IF(G18&gt;=80,0.75,IF(G18&gt;=70,0.5,0)))</f>
      </c>
      <c r="I18" s="4">
        <f>F18*H18</f>
      </c>
      <c r="J18" s="5">
        <v>1</v>
      </c>
      <c r="K18" s="4">
        <f>ROUND((E18/30)*J18, 2)</f>
      </c>
      <c r="L18" s="5">
        <v>0</v>
      </c>
      <c r="M18" s="4">
        <f>ROUND((E18/30)*L18, 2)</f>
      </c>
      <c r="N18" s="4">
        <v>100</v>
      </c>
      <c r="O18" s="4">
        <f>K18+M18+N18</f>
      </c>
      <c r="P18" s="7">
        <f>E18+I18-O18</f>
      </c>
      <c r="Q18" s="5" t="s">
        <v>21</v>
      </c>
    </row>
    <row r="19" ht="23" customHeight="1" spans="1:17" x14ac:dyDescent="0.25">
      <c r="A19" s="8" t="s">
        <v>60</v>
      </c>
      <c r="B19" s="8" t="s">
        <v>61</v>
      </c>
      <c r="C19" s="8" t="s">
        <v>62</v>
      </c>
      <c r="D19" s="9">
        <v>4300</v>
      </c>
      <c r="E19" s="9">
        <f>D19*0.75</f>
      </c>
      <c r="F19" s="9">
        <f>D19*0.25</f>
      </c>
      <c r="G19" s="10">
        <v>74</v>
      </c>
      <c r="H19" s="11">
        <f>IF(G19&gt;=90,1,IF(G19&gt;=80,0.75,IF(G19&gt;=70,0.5,0)))</f>
      </c>
      <c r="I19" s="9">
        <f>F19*H19</f>
      </c>
      <c r="J19" s="10">
        <v>2</v>
      </c>
      <c r="K19" s="9">
        <f>ROUND((E19/30)*J19, 2)</f>
      </c>
      <c r="L19" s="10">
        <v>0</v>
      </c>
      <c r="M19" s="9">
        <f>ROUND((E19/30)*L19, 2)</f>
      </c>
      <c r="N19" s="9">
        <v>0</v>
      </c>
      <c r="O19" s="9">
        <f>K19+M19+N19</f>
      </c>
      <c r="P19" s="7">
        <f>E19+I19-O19</f>
      </c>
      <c r="Q19" s="10" t="s">
        <v>21</v>
      </c>
    </row>
    <row r="20" ht="23" customHeight="1" spans="1:17" x14ac:dyDescent="0.25">
      <c r="A20" s="3" t="s">
        <v>63</v>
      </c>
      <c r="B20" s="3" t="s">
        <v>64</v>
      </c>
      <c r="C20" s="3" t="s">
        <v>65</v>
      </c>
      <c r="D20" s="4">
        <v>4300</v>
      </c>
      <c r="E20" s="4">
        <f>D20*0.75</f>
      </c>
      <c r="F20" s="4">
        <f>D20*0.25</f>
      </c>
      <c r="G20" s="5">
        <v>89</v>
      </c>
      <c r="H20" s="6">
        <f>IF(G20&gt;=90,1,IF(G20&gt;=80,0.75,IF(G20&gt;=70,0.5,0)))</f>
      </c>
      <c r="I20" s="4">
        <f>F20*H20</f>
      </c>
      <c r="J20" s="5">
        <v>0</v>
      </c>
      <c r="K20" s="4">
        <f>ROUND((E20/30)*J20, 2)</f>
      </c>
      <c r="L20" s="5">
        <v>0</v>
      </c>
      <c r="M20" s="4">
        <f>ROUND((E20/30)*L20, 2)</f>
      </c>
      <c r="N20" s="4">
        <v>150</v>
      </c>
      <c r="O20" s="4">
        <f>K20+M20+N20</f>
      </c>
      <c r="P20" s="7">
        <f>E20+I20-O20</f>
      </c>
      <c r="Q20" s="5" t="s">
        <v>21</v>
      </c>
    </row>
    <row r="21" ht="23" customHeight="1" spans="1:17" x14ac:dyDescent="0.25">
      <c r="A21" s="8" t="s">
        <v>66</v>
      </c>
      <c r="B21" s="8" t="s">
        <v>67</v>
      </c>
      <c r="C21" s="8" t="s">
        <v>68</v>
      </c>
      <c r="D21" s="9">
        <v>4200</v>
      </c>
      <c r="E21" s="9">
        <f>D21*0.75</f>
      </c>
      <c r="F21" s="9">
        <f>D21*0.25</f>
      </c>
      <c r="G21" s="10">
        <v>86</v>
      </c>
      <c r="H21" s="11">
        <f>IF(G21&gt;=90,1,IF(G21&gt;=80,0.75,IF(G21&gt;=70,0.5,0)))</f>
      </c>
      <c r="I21" s="9">
        <f>F21*H21</f>
      </c>
      <c r="J21" s="10">
        <v>0</v>
      </c>
      <c r="K21" s="9">
        <f>ROUND((E21/30)*J21, 2)</f>
      </c>
      <c r="L21" s="10">
        <v>1</v>
      </c>
      <c r="M21" s="9">
        <f>ROUND((E21/30)*L21, 2)</f>
      </c>
      <c r="N21" s="9">
        <v>0</v>
      </c>
      <c r="O21" s="9">
        <f>K21+M21+N21</f>
      </c>
      <c r="P21" s="7">
        <f>E21+I21-O21</f>
      </c>
      <c r="Q21" s="10" t="s">
        <v>21</v>
      </c>
    </row>
    <row r="22" ht="23" customHeight="1" spans="1:17" x14ac:dyDescent="0.25">
      <c r="A22" s="3" t="s">
        <v>69</v>
      </c>
      <c r="B22" s="3" t="s">
        <v>70</v>
      </c>
      <c r="C22" s="3" t="s">
        <v>71</v>
      </c>
      <c r="D22" s="4">
        <v>8500</v>
      </c>
      <c r="E22" s="4">
        <f>D22*0.75</f>
      </c>
      <c r="F22" s="4">
        <f>D22*0.25</f>
      </c>
      <c r="G22" s="5">
        <v>97</v>
      </c>
      <c r="H22" s="6">
        <f>IF(G22&gt;=90,1,IF(G22&gt;=80,0.75,IF(G22&gt;=70,0.5,0)))</f>
      </c>
      <c r="I22" s="4">
        <f>F22*H22</f>
      </c>
      <c r="J22" s="5">
        <v>0</v>
      </c>
      <c r="K22" s="4">
        <f>ROUND((E22/30)*J22, 2)</f>
      </c>
      <c r="L22" s="5">
        <v>0</v>
      </c>
      <c r="M22" s="4">
        <f>ROUND((E22/30)*L22, 2)</f>
      </c>
      <c r="N22" s="4">
        <v>1000</v>
      </c>
      <c r="O22" s="4">
        <f>K22+M22+N22</f>
      </c>
      <c r="P22" s="7">
        <f>E22+I22-O22</f>
      </c>
      <c r="Q22" s="5" t="s">
        <v>21</v>
      </c>
    </row>
    <row r="23" ht="23" customHeight="1" spans="1:17" x14ac:dyDescent="0.25">
      <c r="A23" s="8" t="s">
        <v>72</v>
      </c>
      <c r="B23" s="8" t="s">
        <v>73</v>
      </c>
      <c r="C23" s="8" t="s">
        <v>74</v>
      </c>
      <c r="D23" s="9">
        <v>6800</v>
      </c>
      <c r="E23" s="9">
        <f>D23*0.75</f>
      </c>
      <c r="F23" s="9">
        <f>D23*0.25</f>
      </c>
      <c r="G23" s="10">
        <v>91</v>
      </c>
      <c r="H23" s="11">
        <f>IF(G23&gt;=90,1,IF(G23&gt;=80,0.75,IF(G23&gt;=70,0.5,0)))</f>
      </c>
      <c r="I23" s="9">
        <f>F23*H23</f>
      </c>
      <c r="J23" s="10">
        <v>0</v>
      </c>
      <c r="K23" s="9">
        <f>ROUND((E23/30)*J23, 2)</f>
      </c>
      <c r="L23" s="10">
        <v>0</v>
      </c>
      <c r="M23" s="9">
        <f>ROUND((E23/30)*L23, 2)</f>
      </c>
      <c r="N23" s="9">
        <v>300</v>
      </c>
      <c r="O23" s="9">
        <f>K23+M23+N23</f>
      </c>
      <c r="P23" s="7">
        <f>E23+I23-O23</f>
      </c>
      <c r="Q23" s="10" t="s">
        <v>21</v>
      </c>
    </row>
    <row r="24" ht="23" customHeight="1" spans="1:17" x14ac:dyDescent="0.25">
      <c r="A24" s="3" t="s">
        <v>75</v>
      </c>
      <c r="B24" s="3" t="s">
        <v>76</v>
      </c>
      <c r="C24" s="3" t="s">
        <v>77</v>
      </c>
      <c r="D24" s="4">
        <v>4900</v>
      </c>
      <c r="E24" s="4">
        <f>D24*0.75</f>
      </c>
      <c r="F24" s="4">
        <f>D24*0.25</f>
      </c>
      <c r="G24" s="5">
        <v>88</v>
      </c>
      <c r="H24" s="6">
        <f>IF(G24&gt;=90,1,IF(G24&gt;=80,0.75,IF(G24&gt;=70,0.5,0)))</f>
      </c>
      <c r="I24" s="4">
        <f>F24*H24</f>
      </c>
      <c r="J24" s="5">
        <v>0</v>
      </c>
      <c r="K24" s="4">
        <f>ROUND((E24/30)*J24, 2)</f>
      </c>
      <c r="L24" s="5">
        <v>0</v>
      </c>
      <c r="M24" s="4">
        <f>ROUND((E24/30)*L24, 2)</f>
      </c>
      <c r="N24" s="4">
        <v>0</v>
      </c>
      <c r="O24" s="4">
        <f>K24+M24+N24</f>
      </c>
      <c r="P24" s="7">
        <f>E24+I24-O24</f>
      </c>
      <c r="Q24" s="5" t="s">
        <v>21</v>
      </c>
    </row>
    <row r="25" ht="23" customHeight="1" spans="1:17" x14ac:dyDescent="0.25">
      <c r="A25" s="8" t="s">
        <v>78</v>
      </c>
      <c r="B25" s="8" t="s">
        <v>79</v>
      </c>
      <c r="C25" s="8" t="s">
        <v>80</v>
      </c>
      <c r="D25" s="9">
        <v>4700</v>
      </c>
      <c r="E25" s="9">
        <f>D25*0.75</f>
      </c>
      <c r="F25" s="9">
        <f>D25*0.25</f>
      </c>
      <c r="G25" s="10">
        <v>72</v>
      </c>
      <c r="H25" s="11">
        <f>IF(G25&gt;=90,1,IF(G25&gt;=80,0.75,IF(G25&gt;=70,0.5,0)))</f>
      </c>
      <c r="I25" s="9">
        <f>F25*H25</f>
      </c>
      <c r="J25" s="10">
        <v>2</v>
      </c>
      <c r="K25" s="9">
        <f>ROUND((E25/30)*J25, 2)</f>
      </c>
      <c r="L25" s="10">
        <v>1</v>
      </c>
      <c r="M25" s="9">
        <f>ROUND((E25/30)*L25, 2)</f>
      </c>
      <c r="N25" s="9">
        <v>200</v>
      </c>
      <c r="O25" s="9">
        <f>K25+M25+N25</f>
      </c>
      <c r="P25" s="7">
        <f>E25+I25-O25</f>
      </c>
      <c r="Q25" s="10" t="s">
        <v>21</v>
      </c>
    </row>
    <row r="26" ht="23" customHeight="1" spans="1:17" x14ac:dyDescent="0.25">
      <c r="A26" s="3" t="s">
        <v>81</v>
      </c>
      <c r="B26" s="3" t="s">
        <v>82</v>
      </c>
      <c r="C26" s="3" t="s">
        <v>83</v>
      </c>
      <c r="D26" s="4">
        <v>4700</v>
      </c>
      <c r="E26" s="4">
        <f>D26*0.75</f>
      </c>
      <c r="F26" s="4">
        <f>D26*0.25</f>
      </c>
      <c r="G26" s="5">
        <v>86</v>
      </c>
      <c r="H26" s="6">
        <f>IF(G26&gt;=90,1,IF(G26&gt;=80,0.75,IF(G26&gt;=70,0.5,0)))</f>
      </c>
      <c r="I26" s="4">
        <f>F26*H26</f>
      </c>
      <c r="J26" s="5">
        <v>0</v>
      </c>
      <c r="K26" s="4">
        <f>ROUND((E26/30)*J26, 2)</f>
      </c>
      <c r="L26" s="5">
        <v>0</v>
      </c>
      <c r="M26" s="4">
        <f>ROUND((E26/30)*L26, 2)</f>
      </c>
      <c r="N26" s="4">
        <v>150</v>
      </c>
      <c r="O26" s="4">
        <f>K26+M26+N26</f>
      </c>
      <c r="P26" s="7">
        <f>E26+I26-O26</f>
      </c>
      <c r="Q26" s="5" t="s">
        <v>21</v>
      </c>
    </row>
    <row r="27" ht="23" customHeight="1" spans="1:17" x14ac:dyDescent="0.25">
      <c r="A27" s="8" t="s">
        <v>84</v>
      </c>
      <c r="B27" s="8" t="s">
        <v>85</v>
      </c>
      <c r="C27" s="8" t="s">
        <v>86</v>
      </c>
      <c r="D27" s="9">
        <v>5000</v>
      </c>
      <c r="E27" s="9">
        <f>D27*0.75</f>
      </c>
      <c r="F27" s="9">
        <f>D27*0.25</f>
      </c>
      <c r="G27" s="10">
        <v>93</v>
      </c>
      <c r="H27" s="11">
        <f>IF(G27&gt;=90,1,IF(G27&gt;=80,0.75,IF(G27&gt;=70,0.5,0)))</f>
      </c>
      <c r="I27" s="9">
        <f>F27*H27</f>
      </c>
      <c r="J27" s="10">
        <v>0</v>
      </c>
      <c r="K27" s="9">
        <f>ROUND((E27/30)*J27, 2)</f>
      </c>
      <c r="L27" s="10">
        <v>0</v>
      </c>
      <c r="M27" s="9">
        <f>ROUND((E27/30)*L27, 2)</f>
      </c>
      <c r="N27" s="9">
        <v>400</v>
      </c>
      <c r="O27" s="9">
        <f>K27+M27+N27</f>
      </c>
      <c r="P27" s="7">
        <f>E27+I27-O27</f>
      </c>
      <c r="Q27" s="10" t="s">
        <v>21</v>
      </c>
    </row>
    <row r="28" ht="23" customHeight="1" spans="1:17" x14ac:dyDescent="0.25">
      <c r="A28" s="3" t="s">
        <v>87</v>
      </c>
      <c r="B28" s="3" t="s">
        <v>88</v>
      </c>
      <c r="C28" s="3" t="s">
        <v>89</v>
      </c>
      <c r="D28" s="4">
        <v>4300</v>
      </c>
      <c r="E28" s="4">
        <f>D28*0.75</f>
      </c>
      <c r="F28" s="4">
        <f>D28*0.25</f>
      </c>
      <c r="G28" s="5">
        <v>81</v>
      </c>
      <c r="H28" s="6">
        <f>IF(G28&gt;=90,1,IF(G28&gt;=80,0.75,IF(G28&gt;=70,0.5,0)))</f>
      </c>
      <c r="I28" s="4">
        <f>F28*H28</f>
      </c>
      <c r="J28" s="5">
        <v>1</v>
      </c>
      <c r="K28" s="4">
        <f>ROUND((E28/30)*J28, 2)</f>
      </c>
      <c r="L28" s="5">
        <v>0</v>
      </c>
      <c r="M28" s="4">
        <f>ROUND((E28/30)*L28, 2)</f>
      </c>
      <c r="N28" s="4">
        <v>0</v>
      </c>
      <c r="O28" s="4">
        <f>K28+M28+N28</f>
      </c>
      <c r="P28" s="7">
        <f>E28+I28-O28</f>
      </c>
      <c r="Q28" s="5" t="s">
        <v>21</v>
      </c>
    </row>
    <row r="29" ht="23" customHeight="1" spans="1:17" x14ac:dyDescent="0.25">
      <c r="A29" s="8" t="s">
        <v>90</v>
      </c>
      <c r="B29" s="8" t="s">
        <v>91</v>
      </c>
      <c r="C29" s="8" t="s">
        <v>92</v>
      </c>
      <c r="D29" s="9">
        <v>4200</v>
      </c>
      <c r="E29" s="9">
        <f>D29*0.75</f>
      </c>
      <c r="F29" s="9">
        <f>D29*0.25</f>
      </c>
      <c r="G29" s="10">
        <v>85</v>
      </c>
      <c r="H29" s="11">
        <f>IF(G29&gt;=90,1,IF(G29&gt;=80,0.75,IF(G29&gt;=70,0.5,0)))</f>
      </c>
      <c r="I29" s="9">
        <f>F29*H29</f>
      </c>
      <c r="J29" s="10">
        <v>0</v>
      </c>
      <c r="K29" s="9">
        <f>ROUND((E29/30)*J29, 2)</f>
      </c>
      <c r="L29" s="10">
        <v>0</v>
      </c>
      <c r="M29" s="9">
        <f>ROUND((E29/30)*L29, 2)</f>
      </c>
      <c r="N29" s="9">
        <v>100</v>
      </c>
      <c r="O29" s="9">
        <f>K29+M29+N29</f>
      </c>
      <c r="P29" s="7">
        <f>E29+I29-O29</f>
      </c>
      <c r="Q29" s="10" t="s">
        <v>21</v>
      </c>
    </row>
    <row r="30" ht="23" customHeight="1" spans="1:17" x14ac:dyDescent="0.25">
      <c r="A30" s="3" t="s">
        <v>93</v>
      </c>
      <c r="B30" s="3" t="s">
        <v>94</v>
      </c>
      <c r="C30" s="3" t="s">
        <v>95</v>
      </c>
      <c r="D30" s="4">
        <v>7200</v>
      </c>
      <c r="E30" s="4">
        <f>D30*0.75</f>
      </c>
      <c r="F30" s="4">
        <f>D30*0.25</f>
      </c>
      <c r="G30" s="5">
        <v>94</v>
      </c>
      <c r="H30" s="6">
        <f>IF(G30&gt;=90,1,IF(G30&gt;=80,0.75,IF(G30&gt;=70,0.5,0)))</f>
      </c>
      <c r="I30" s="4">
        <f>F30*H30</f>
      </c>
      <c r="J30" s="5">
        <v>0</v>
      </c>
      <c r="K30" s="4">
        <f>ROUND((E30/30)*J30, 2)</f>
      </c>
      <c r="L30" s="5">
        <v>0</v>
      </c>
      <c r="M30" s="4">
        <f>ROUND((E30/30)*L30, 2)</f>
      </c>
      <c r="N30" s="4">
        <v>600</v>
      </c>
      <c r="O30" s="4">
        <f>K30+M30+N30</f>
      </c>
      <c r="P30" s="7">
        <f>E30+I30-O30</f>
      </c>
      <c r="Q30" s="5" t="s">
        <v>21</v>
      </c>
    </row>
    <row r="31" ht="23" customHeight="1" spans="1:17" x14ac:dyDescent="0.25">
      <c r="A31" s="8" t="s">
        <v>96</v>
      </c>
      <c r="B31" s="8" t="s">
        <v>97</v>
      </c>
      <c r="C31" s="8" t="s">
        <v>98</v>
      </c>
      <c r="D31" s="9">
        <v>5200</v>
      </c>
      <c r="E31" s="9">
        <f>D31*0.75</f>
      </c>
      <c r="F31" s="9">
        <f>D31*0.25</f>
      </c>
      <c r="G31" s="10">
        <v>89</v>
      </c>
      <c r="H31" s="11">
        <f>IF(G31&gt;=90,1,IF(G31&gt;=80,0.75,IF(G31&gt;=70,0.5,0)))</f>
      </c>
      <c r="I31" s="9">
        <f>F31*H31</f>
      </c>
      <c r="J31" s="10">
        <v>0</v>
      </c>
      <c r="K31" s="9">
        <f>ROUND((E31/30)*J31, 2)</f>
      </c>
      <c r="L31" s="10">
        <v>0</v>
      </c>
      <c r="M31" s="9">
        <f>ROUND((E31/30)*L31, 2)</f>
      </c>
      <c r="N31" s="9">
        <v>200</v>
      </c>
      <c r="O31" s="9">
        <f>K31+M31+N31</f>
      </c>
      <c r="P31" s="7">
        <f>E31+I31-O31</f>
      </c>
      <c r="Q31" s="10" t="s">
        <v>21</v>
      </c>
    </row>
    <row r="32" ht="23" customHeight="1" spans="1:17" x14ac:dyDescent="0.25">
      <c r="A32" s="3" t="s">
        <v>99</v>
      </c>
      <c r="B32" s="3" t="s">
        <v>100</v>
      </c>
      <c r="C32" s="3" t="s">
        <v>101</v>
      </c>
      <c r="D32" s="4">
        <v>5000</v>
      </c>
      <c r="E32" s="4">
        <f>D32*0.75</f>
      </c>
      <c r="F32" s="4">
        <f>D32*0.25</f>
      </c>
      <c r="G32" s="5">
        <v>87</v>
      </c>
      <c r="H32" s="6">
        <f>IF(G32&gt;=90,1,IF(G32&gt;=80,0.75,IF(G32&gt;=70,0.5,0)))</f>
      </c>
      <c r="I32" s="4">
        <f>F32*H32</f>
      </c>
      <c r="J32" s="5">
        <v>1</v>
      </c>
      <c r="K32" s="4">
        <f>ROUND((E32/30)*J32, 2)</f>
      </c>
      <c r="L32" s="5">
        <v>0</v>
      </c>
      <c r="M32" s="4">
        <f>ROUND((E32/30)*L32, 2)</f>
      </c>
      <c r="N32" s="4">
        <v>150</v>
      </c>
      <c r="O32" s="4">
        <f>K32+M32+N32</f>
      </c>
      <c r="P32" s="7">
        <f>E32+I32-O32</f>
      </c>
      <c r="Q32" s="5" t="s">
        <v>21</v>
      </c>
    </row>
    <row r="33" ht="23" customHeight="1" spans="1:17" x14ac:dyDescent="0.25">
      <c r="A33" s="8" t="s">
        <v>102</v>
      </c>
      <c r="B33" s="8" t="s">
        <v>103</v>
      </c>
      <c r="C33" s="8" t="s">
        <v>104</v>
      </c>
      <c r="D33" s="9">
        <v>4800</v>
      </c>
      <c r="E33" s="9">
        <f>D33*0.75</f>
      </c>
      <c r="F33" s="9">
        <f>D33*0.25</f>
      </c>
      <c r="G33" s="10">
        <v>92</v>
      </c>
      <c r="H33" s="11">
        <f>IF(G33&gt;=90,1,IF(G33&gt;=80,0.75,IF(G33&gt;=70,0.5,0)))</f>
      </c>
      <c r="I33" s="9">
        <f>F33*H33</f>
      </c>
      <c r="J33" s="10">
        <v>0</v>
      </c>
      <c r="K33" s="9">
        <f>ROUND((E33/30)*J33, 2)</f>
      </c>
      <c r="L33" s="10">
        <v>0</v>
      </c>
      <c r="M33" s="9">
        <f>ROUND((E33/30)*L33, 2)</f>
      </c>
      <c r="N33" s="9">
        <v>0</v>
      </c>
      <c r="O33" s="9">
        <f>K33+M33+N33</f>
      </c>
      <c r="P33" s="7">
        <f>E33+I33-O33</f>
      </c>
      <c r="Q33" s="10" t="s">
        <v>21</v>
      </c>
    </row>
    <row r="34" ht="28" customHeight="1" spans="1:17" x14ac:dyDescent="0.25">
      <c r="A34" s="12" t="s">
        <v>105</v>
      </c>
      <c r="B34" s="12" t="s">
        <v>106</v>
      </c>
      <c r="C34" s="12" t="s">
        <v>107</v>
      </c>
      <c r="D34" s="13">
        <f>SUM(D4:D33)</f>
      </c>
      <c r="E34" s="13">
        <f>SUM(E4:E33)</f>
      </c>
      <c r="F34" s="13">
        <f>SUM(F4:F33)</f>
      </c>
      <c r="G34" s="12">
        <f>AVERAGE(G4:G33)</f>
      </c>
      <c r="H34" s="12" t="s">
        <v>107</v>
      </c>
      <c r="I34" s="13">
        <f>SUM(I4:I33)</f>
      </c>
      <c r="J34" s="12">
        <f>SUM(J4:J33)</f>
      </c>
      <c r="K34" s="13">
        <f>SUM(K4:K33)</f>
      </c>
      <c r="L34" s="12">
        <f>SUM(L4:L33)</f>
      </c>
      <c r="M34" s="13">
        <f>SUM(M4:M33)</f>
      </c>
      <c r="N34" s="13">
        <f>SUM(N4:N33)</f>
      </c>
      <c r="O34" s="13">
        <f>SUM(O4:O33)</f>
      </c>
      <c r="P34" s="13">
        <f>SUM(P4:P33)</f>
      </c>
      <c r="Q34" s="12" t="s">
        <v>107</v>
      </c>
    </row>
  </sheetData>
  <mergeCells count="1">
    <mergeCell ref="A1:Q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 rightToLeft="1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5" x14ac:dyDescent="0.25">
      <c r="A1" s="14" t="s">
        <v>108</v>
      </c>
      <c r="B1" s="14"/>
      <c r="C1" s="14"/>
      <c r="D1" s="14"/>
      <c r="E1" s="14"/>
    </row>
    <row r="3" ht="24" customHeight="1" spans="1:2" x14ac:dyDescent="0.25">
      <c r="A3" s="15" t="s">
        <v>109</v>
      </c>
      <c r="B3" s="16" t="s">
        <v>110</v>
      </c>
    </row>
    <row r="4" ht="24" customHeight="1" spans="1:2" x14ac:dyDescent="0.25">
      <c r="A4" s="15" t="s">
        <v>111</v>
      </c>
      <c r="B4" s="16" t="s">
        <v>112</v>
      </c>
    </row>
    <row r="5" ht="24" customHeight="1" spans="1:2" x14ac:dyDescent="0.25">
      <c r="A5" s="15" t="s">
        <v>21</v>
      </c>
      <c r="B5" s="16" t="s">
        <v>113</v>
      </c>
    </row>
    <row r="6" ht="24" customHeight="1" spans="1:2" x14ac:dyDescent="0.25">
      <c r="A6" s="15" t="s">
        <v>21</v>
      </c>
      <c r="B6" s="16" t="s">
        <v>114</v>
      </c>
    </row>
    <row r="7" ht="24" customHeight="1" spans="1:2" x14ac:dyDescent="0.25">
      <c r="A7" s="15" t="s">
        <v>21</v>
      </c>
      <c r="B7" s="16" t="s">
        <v>115</v>
      </c>
    </row>
    <row r="8" ht="24" customHeight="1" spans="1:2" x14ac:dyDescent="0.25">
      <c r="A8" s="15" t="s">
        <v>116</v>
      </c>
      <c r="B8" s="16" t="s">
        <v>117</v>
      </c>
    </row>
    <row r="9" ht="24" customHeight="1" spans="1:2" x14ac:dyDescent="0.25">
      <c r="A9" s="15" t="s">
        <v>118</v>
      </c>
      <c r="B9" s="16" t="s">
        <v>119</v>
      </c>
    </row>
    <row r="10" ht="24" customHeight="1" spans="1:2" x14ac:dyDescent="0.25">
      <c r="A10" s="15" t="s">
        <v>120</v>
      </c>
      <c r="B10" s="16" t="s">
        <v>121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كشف الرواتب والتقييم الشهري</vt:lpstr>
      <vt:lpstr>دليل وشروط حساب المرتبات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Antigravity Accounting &amp; HR System</dc:creator>
  <dc:title/>
  <dc:subject/>
  <dc:description/>
  <cp:keywords/>
  <cp:category/>
  <cp:lastModifiedBy>Unknown</cp:lastModifiedBy>
  <dcterms:created xsi:type="dcterms:W3CDTF">2026-08-15T10:52:02Z</dcterms:created>
  <dcterms:modified xsi:type="dcterms:W3CDTF">2026-08-15T10:52:02Z</dcterms:modified>
</cp:coreProperties>
</file>