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تقييم يومي - الاستقبال" state="visible" r:id="rId4"/>
    <sheet sheetId="2" name="تقييم يومي - الإشراف والغرف" state="visible" r:id="rId5"/>
    <sheet sheetId="3" name="تقييم يومي - المطعم والخدمة" state="visible" r:id="rId6"/>
    <sheet sheetId="4" name="تقييم يومي - الصيانة والخدمات" state="visible" r:id="rId7"/>
    <sheet sheetId="5" name="استمارة تقييم يومية مطبوعة" state="visible" r:id="rId8"/>
    <sheet sheetId="6" name="كشف الرواتب والتقييم الشهري" state="visible" r:id="rId9"/>
    <sheet sheetId="7" name="دليل وشروط حساب المرتبات" state="visible" r:id="rId10"/>
  </sheets>
  <calcPr calcId="171027"/>
</workbook>
</file>

<file path=xl/sharedStrings.xml><?xml version="1.0" encoding="utf-8"?>
<sst xmlns="http://schemas.openxmlformats.org/spreadsheetml/2006/main" count="676" uniqueCount="172">
  <si>
    <t>📋 شيت التقييم اليومي للـ KPIs — قسم الاستقبال والمكاتب الأمامية</t>
  </si>
  <si>
    <t>كود الموظف</t>
  </si>
  <si>
    <t>اسم الموظف</t>
  </si>
  <si>
    <t>الوظيفة</t>
  </si>
  <si>
    <t>يوم 1</t>
  </si>
  <si>
    <t>يوم 2</t>
  </si>
  <si>
    <t>يوم 3</t>
  </si>
  <si>
    <t>يوم 4</t>
  </si>
  <si>
    <t>يوم 5</t>
  </si>
  <si>
    <t>يوم 6</t>
  </si>
  <si>
    <t>يوم 7</t>
  </si>
  <si>
    <t>يوم 8</t>
  </si>
  <si>
    <t>يوم 9</t>
  </si>
  <si>
    <t>يوم 10</t>
  </si>
  <si>
    <t>يوم 11</t>
  </si>
  <si>
    <t>يوم 12</t>
  </si>
  <si>
    <t>يوم 13</t>
  </si>
  <si>
    <t>يوم 14</t>
  </si>
  <si>
    <t>يوم 15</t>
  </si>
  <si>
    <t>يوم 16</t>
  </si>
  <si>
    <t>يوم 17</t>
  </si>
  <si>
    <t>يوم 18</t>
  </si>
  <si>
    <t>يوم 19</t>
  </si>
  <si>
    <t>يوم 20</t>
  </si>
  <si>
    <t>يوم 21</t>
  </si>
  <si>
    <t>يوم 22</t>
  </si>
  <si>
    <t>يوم 23</t>
  </si>
  <si>
    <t>يوم 24</t>
  </si>
  <si>
    <t>يوم 25</t>
  </si>
  <si>
    <t>يوم 26</t>
  </si>
  <si>
    <t>يوم 27</t>
  </si>
  <si>
    <t>يوم 28</t>
  </si>
  <si>
    <t>يوم 29</t>
  </si>
  <si>
    <t>يوم 30</t>
  </si>
  <si>
    <t>إجمالي الدرجات (من 150)</t>
  </si>
  <si>
    <t>النسبة الشهرية % (من 100)</t>
  </si>
  <si>
    <t>EMP-101</t>
  </si>
  <si>
    <t>أحمد محمود علي</t>
  </si>
  <si>
    <t>مشرف استقبال</t>
  </si>
  <si>
    <t>EMP-102</t>
  </si>
  <si>
    <t>محمد حسن إبراهيم</t>
  </si>
  <si>
    <t>موظف استقبال نهار</t>
  </si>
  <si>
    <t>EMP-103</t>
  </si>
  <si>
    <t>عمر خالد فوزي</t>
  </si>
  <si>
    <t>موظف استقبال ليل</t>
  </si>
  <si>
    <t>EMP-104</t>
  </si>
  <si>
    <t>نور الدين طارق</t>
  </si>
  <si>
    <t>موظف استقبال</t>
  </si>
  <si>
    <t>EMP-105</t>
  </si>
  <si>
    <t>مريم عادل القاضي</t>
  </si>
  <si>
    <t>مأمور علاقات نزلاء</t>
  </si>
  <si>
    <t>EMP-106</t>
  </si>
  <si>
    <t>مصطفى كمال الدين</t>
  </si>
  <si>
    <t>مساعد استقبال</t>
  </si>
  <si>
    <t>🧹 شيت التقييم اليومي للـ KPIs — قسم الإشراف الداخلي والغرف</t>
  </si>
  <si>
    <t>EMP-107</t>
  </si>
  <si>
    <t>أميرة عبد العزيز</t>
  </si>
  <si>
    <t>مشرفة الإشراف الداخلي</t>
  </si>
  <si>
    <t>EMP-108</t>
  </si>
  <si>
    <t>سيد مصطفى طه</t>
  </si>
  <si>
    <t>عامل غرف أول</t>
  </si>
  <si>
    <t>EMP-109</t>
  </si>
  <si>
    <t>حسين علي كمال</t>
  </si>
  <si>
    <t>عامل تنظيف غرف</t>
  </si>
  <si>
    <t>EMP-110</t>
  </si>
  <si>
    <t>إبراهيم خليفة</t>
  </si>
  <si>
    <t>EMP-111</t>
  </si>
  <si>
    <t>رمضان فتحي</t>
  </si>
  <si>
    <t>EMP-112</t>
  </si>
  <si>
    <t>عاطف منصور</t>
  </si>
  <si>
    <t>EMP-113</t>
  </si>
  <si>
    <t>حسن شحاتة</t>
  </si>
  <si>
    <t>عامل غسيل وكتانيات</t>
  </si>
  <si>
    <t>EMP-114</t>
  </si>
  <si>
    <t>زينب أحمد السيد</t>
  </si>
  <si>
    <t>عامله نظافة أماكن عامة</t>
  </si>
  <si>
    <t>EMP-115</t>
  </si>
  <si>
    <t>فاطمة محمود</t>
  </si>
  <si>
    <t>EMP-116</t>
  </si>
  <si>
    <t>محمود جابر</t>
  </si>
  <si>
    <t>عامل نظافة ممرات</t>
  </si>
  <si>
    <t>EMP-117</t>
  </si>
  <si>
    <t>علي عبد السميع</t>
  </si>
  <si>
    <t>مساعد إشراف داخلي</t>
  </si>
  <si>
    <t>EMP-118</t>
  </si>
  <si>
    <t>فتحي رجب</t>
  </si>
  <si>
    <t>عامل نظافة وأماكن عامة</t>
  </si>
  <si>
    <t>🍽️ شيت التقييم اليومي للـ KPIs — قسم المطعم والكافيه</t>
  </si>
  <si>
    <t>EMP-119</t>
  </si>
  <si>
    <t>خالد رجب سلامة</t>
  </si>
  <si>
    <t>مدير مطعم وكافيه</t>
  </si>
  <si>
    <t>EMP-120</t>
  </si>
  <si>
    <t>طارق صلاح الدين</t>
  </si>
  <si>
    <t>مشرف أغذية ومشروبات</t>
  </si>
  <si>
    <t>EMP-121</t>
  </si>
  <si>
    <t>إسلام يوسف أحمد</t>
  </si>
  <si>
    <t>ويتر كافيه رئيسي</t>
  </si>
  <si>
    <t>EMP-122</t>
  </si>
  <si>
    <t>مصطفى ربيع جابر</t>
  </si>
  <si>
    <t>ويتر كافيه</t>
  </si>
  <si>
    <t>EMP-123</t>
  </si>
  <si>
    <t>وليد صبري</t>
  </si>
  <si>
    <t>ويتر مطعم إفطار</t>
  </si>
  <si>
    <t>EMP-124</t>
  </si>
  <si>
    <t>كريم شعبان</t>
  </si>
  <si>
    <t>باريستا بائع كافيه</t>
  </si>
  <si>
    <t>EMP-125</t>
  </si>
  <si>
    <t>سامح فاروق</t>
  </si>
  <si>
    <t>مساعد ويتر تجهيز</t>
  </si>
  <si>
    <t>EMP-126</t>
  </si>
  <si>
    <t>أحمد بدوي</t>
  </si>
  <si>
    <t>عامل غسيل أطباق وتجهيز</t>
  </si>
  <si>
    <t>🔧 شيت التقييم اليومي للـ KPIs — قسم الصيانة والخدمات المعاونة</t>
  </si>
  <si>
    <t>EMP-127</t>
  </si>
  <si>
    <t>المهندس تامر فؤاد</t>
  </si>
  <si>
    <t>مشرف صيانة الفندق</t>
  </si>
  <si>
    <t>EMP-128</t>
  </si>
  <si>
    <t>جمال عبد المعطي</t>
  </si>
  <si>
    <t>فني كهرباء وسباكة</t>
  </si>
  <si>
    <t>EMP-129</t>
  </si>
  <si>
    <t>رفعت عبد الصمد</t>
  </si>
  <si>
    <t>سائق ومسؤول خدمات</t>
  </si>
  <si>
    <t>EMP-130</t>
  </si>
  <si>
    <t>صبحي عبد العال</t>
  </si>
  <si>
    <t>مسؤول أمن وحراسة</t>
  </si>
  <si>
    <t>🏨 فندق هينو الأهرامات — استمارة التقييم ورصد درجات الـ KPIs اليومية لموظفي الفندق (مطبوعة)</t>
  </si>
  <si>
    <t>التاريخ: ..... / ..... / 2026م</t>
  </si>
  <si>
    <t>الوردية: [  ] صباحية    [  ] مسائية    [  ] ليلية</t>
  </si>
  <si>
    <t>اسم المشرف المقيم: .......................................</t>
  </si>
  <si>
    <t>الوظيفة / القسم</t>
  </si>
  <si>
    <t>⏱️ الحضور بالميعاد (1)</t>
  </si>
  <si>
    <t>🧼 النظافة والمظهر (1)</t>
  </si>
  <si>
    <t>👔 الزي الرسمي Uniform (1)</t>
  </si>
  <si>
    <t>😊 الابتسامة واللباقة (1)</t>
  </si>
  <si>
    <t>🎯 إتقان المهام (1)</t>
  </si>
  <si>
    <t>مجموع اليوم (من 5)</t>
  </si>
  <si>
    <t>ملاحظات المشرف والتفريغ</t>
  </si>
  <si>
    <t>📌 قسم الاستقبال والمكاتب الأمامية</t>
  </si>
  <si>
    <t/>
  </si>
  <si>
    <t>📌 قسم الإشراف الداخلي والغرف</t>
  </si>
  <si>
    <t>📌 قسم المطعم والكافيه والخدمة</t>
  </si>
  <si>
    <t>📌 قسم الصيانة والخدمات المعاونة</t>
  </si>
  <si>
    <t>🏨 فندق هينو الأهرامات — كشف الرواتب المالي الشهري المرتبط آلياً بتقييم الـ KPIs اليومي</t>
  </si>
  <si>
    <t>القسم / الوظيفة</t>
  </si>
  <si>
    <t>الراتب الشامل</t>
  </si>
  <si>
    <t>الراتب الأساسي (75%)</t>
  </si>
  <si>
    <t>حافز الـ KPI المتاح (25%)</t>
  </si>
  <si>
    <t>التقييم الشهري (من 100)</t>
  </si>
  <si>
    <t>نسبة استحقاق الحافز</t>
  </si>
  <si>
    <t>حافز الأداء المستحق</t>
  </si>
  <si>
    <t>أيام الغياب</t>
  </si>
  <si>
    <t>خصم الغياب (جـ)</t>
  </si>
  <si>
    <t>أيام الجزاءات</t>
  </si>
  <si>
    <t>خصم الجزاءات (جـ)</t>
  </si>
  <si>
    <t>خصم السلف</t>
  </si>
  <si>
    <t>إجمالي الخصومات</t>
  </si>
  <si>
    <t>صافي الراتب المدفوع</t>
  </si>
  <si>
    <t>التوقيع بالاستلام</t>
  </si>
  <si>
    <t>الإجمالي الكلي</t>
  </si>
  <si>
    <t>30 موظف</t>
  </si>
  <si>
    <t>-</t>
  </si>
  <si>
    <t>💡 قواعد وشروط حساب أجور وحوافز الـ KPIs اليومية — فندق هينو الأهرامات</t>
  </si>
  <si>
    <t>معيار التقييم اليومي (5 درجات يومياً):</t>
  </si>
  <si>
    <t xml:space="preserve">1. الحضور والالتزام بالميعاد (1 درجة)
2. النظافة الشخصية والمظهر (1 درجة)
3. ارتداء الزي الرسمي بالكامل Uniform (1 درجة)
4. الابتسامة واللباقة الفندقية أثناء العمل (1 درجة)
5. جودة وإتقان مهام الوظيفة الفندقية (1 درجة).</t>
  </si>
  <si>
    <t>طريقة حساب التقييم الشهري:</t>
  </si>
  <si>
    <t>يتم تجميع درجات الأيام الـ 30 (حد أقصى 150 درجة)، وتحسب النسبة المئوية % وتُرَحَّل آلياً إلى شيت المرتبات الرئيسي.</t>
  </si>
  <si>
    <t>معادلة هيكلة الراتب (75% / 25%):</t>
  </si>
  <si>
    <t>الراتب الشامل يتكون من: 75% راتب أساسي ثابت + 25% حافز تقييم أداء متغيّر (KPIs).</t>
  </si>
  <si>
    <t>معيار استحقاق حافز الـ KPI (من 100):</t>
  </si>
  <si>
    <t xml:space="preserve">• تقييم 90% إلى 100% ⬅️ صرف 100% من الحافز المتاح.
• تقييم 80% إلى 89% ⬅️ صرف 75% من الحافز المتاح.
• تقييم 70% إلى 79% ⬅️ صرف 50% من الحافز المتاح.
• تقييم أقل من 70% ⬅️ صرف 0% من الحافز (حرمان لحين التحسين).</t>
  </si>
  <si>
    <t>معادلة خصم الغياب والجزاءات:</t>
  </si>
  <si>
    <t>خصم أجر اليوم = (الراتب الأساسي 75% ÷ 30 يوم) × عدد أيام الغياب أو الجزاءات.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</si>
</sst>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quot; جـ&quot;"/>
  </numFmts>
  <fonts count="17" x14ac:knownFonts="1">
    <font>
      <color theme="1"/>
      <family val="2"/>
      <scheme val="minor"/>
      <sz val="11"/>
      <name val="Calibri"/>
    </font>
    <font>
      <b/>
      <color rgb="FFFFFFFF"/>
      <sz val="14"/>
      <name val="Arial"/>
    </font>
    <font>
      <b/>
      <color rgb="FFFFFFFF"/>
      <sz val="9"/>
      <name val="Arial"/>
    </font>
    <font>
      <sz val="9"/>
      <name val="Arial"/>
    </font>
    <font>
      <b/>
      <color rgb="FF276749"/>
      <sz val="9"/>
      <name val="Arial"/>
    </font>
    <font>
      <b/>
      <color rgb="FF1F4E78"/>
      <sz val="10"/>
      <name val="Arial"/>
    </font>
    <font>
      <b/>
      <color rgb="FFC53030"/>
      <sz val="9"/>
      <name val="Arial"/>
    </font>
    <font>
      <b/>
      <color rgb="FFFFFFFF"/>
      <sz val="9.5"/>
      <name val="Arial"/>
    </font>
    <font>
      <b/>
      <color rgb="FF78350F"/>
      <sz val="10"/>
      <name val="Arial"/>
    </font>
    <font>
      <b/>
      <color rgb="FF1F4E78"/>
      <sz val="9.5"/>
      <name val="Arial"/>
    </font>
    <font>
      <b/>
      <color rgb="FFFFFFFF"/>
      <sz val="16"/>
      <name val="Arial"/>
    </font>
    <font>
      <b/>
      <color rgb="FFFFFFFF"/>
      <sz val="10"/>
      <name val="Arial"/>
    </font>
    <font>
      <sz val="9.5"/>
      <name val="Arial"/>
    </font>
    <font>
      <b/>
      <color rgb="FF276749"/>
      <sz val="9.5"/>
      <name val="Arial"/>
    </font>
    <font>
      <b/>
      <color rgb="FFFFFFFF"/>
      <sz val="15"/>
      <name val="Arial"/>
    </font>
    <font>
      <b/>
      <color rgb="FF1F4E78"/>
      <sz val="11"/>
      <name val="Arial"/>
    </font>
    <font>
      <sz val="10"/>
      <name val="Arial"/>
    </font>
  </fonts>
  <fills count="15">
    <fill>
      <patternFill patternType="none"/>
    </fill>
    <fill>
      <patternFill patternType="gray125"/>
    </fill>
    <fill>
      <patternFill patternType="solid">
        <fgColor rgb="FF1F4E78"/>
      </patternFill>
    </fill>
    <fill>
      <patternFill patternType="solid">
        <fgColor rgb="FF2F5597"/>
      </patternFill>
    </fill>
    <fill>
      <patternFill patternType="solid">
        <fgColor rgb="F9FAFB"/>
      </patternFill>
    </fill>
    <fill>
      <patternFill patternType="solid">
        <fgColor rgb="EBF8FF"/>
      </patternFill>
    </fill>
    <fill>
      <patternFill patternType="solid">
        <fgColor rgb="FFFFFF"/>
      </patternFill>
    </fill>
    <fill>
      <patternFill patternType="solid">
        <fgColor rgb="FFF5F5"/>
      </patternFill>
    </fill>
    <fill>
      <patternFill patternType="solid">
        <fgColor rgb="F2F4F8"/>
      </patternFill>
    </fill>
    <fill>
      <patternFill patternType="solid">
        <fgColor rgb="FEF3C7"/>
      </patternFill>
    </fill>
    <fill>
      <patternFill patternType="solid">
        <fgColor rgb="F3F4F6"/>
      </patternFill>
    </fill>
    <fill>
      <patternFill patternType="solid">
        <fgColor rgb="EFF6FF"/>
      </patternFill>
    </fill>
    <fill>
      <patternFill patternType="solid">
        <fgColor rgb="E6F4EA"/>
      </patternFill>
    </fill>
    <fill>
      <patternFill patternType="solid">
        <fgColor rgb="D9E1F2"/>
      </patternFill>
    </fill>
    <fill>
      <patternFill patternType="solid">
        <fgColor rgb="FF375623"/>
      </patternFill>
    </fill>
  </fills>
  <borders count="6">
    <border>
      <left/>
      <right/>
      <top/>
      <bottom/>
      <diagonal/>
    </border>
    <border>
      <left style="thin">
        <color rgb="CCCCCC"/>
      </left>
      <right style="thin">
        <color rgb="CCCCCC"/>
      </right>
      <top style="thin">
        <color rgb="CCCCCC"/>
      </top>
      <bottom style="medium">
        <color rgb="1F4E78"/>
      </bottom>
      <diagonal/>
    </border>
    <border>
      <left style="thin">
        <color rgb="E5E7EB"/>
      </left>
      <right style="thin">
        <color rgb="E5E7EB"/>
      </right>
      <top style="thin">
        <color rgb="E5E7EB"/>
      </top>
      <bottom style="thin">
        <color rgb="E5E7EB"/>
      </bottom>
      <diagonal/>
    </border>
    <border>
      <left style="thin"/>
      <right style="thin"/>
      <top style="thin"/>
      <bottom style="thin"/>
      <diagonal/>
    </border>
    <border>
      <left style="thin">
        <color rgb="D1D5DB"/>
      </left>
      <right style="thin">
        <color rgb="D1D5DB"/>
      </right>
      <top style="thin">
        <color rgb="D1D5DB"/>
      </top>
      <bottom style="thin">
        <color rgb="D1D5DB"/>
      </bottom>
      <diagonal/>
    </border>
    <border>
      <left style="thin">
        <color rgb="B4C6E7"/>
      </left>
      <right style="thin">
        <color rgb="B4C6E7"/>
      </right>
      <top style="double">
        <color rgb="1F4E78"/>
      </top>
      <bottom style="double">
        <color rgb="1F4E78"/>
      </bottom>
      <diagonal/>
    </border>
  </borders>
  <cellStyleXfs count="1">
    <xf numFmtId="0" fontId="0" fillId="0" borderId="0"/>
  </cellStyleXfs>
  <cellXfs count="35">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4" borderId="2" xfId="0" applyFont="1" applyFill="1" applyBorder="1" applyAlignment="1">
      <alignment horizontal="right" vertical="center"/>
    </xf>
    <xf numFmtId="0" fontId="4" fillId="4" borderId="2" xfId="0" applyFont="1" applyFill="1" applyBorder="1" applyAlignment="1">
      <alignment horizontal="center" vertical="center"/>
    </xf>
    <xf numFmtId="0" fontId="3"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3" fillId="6" borderId="2" xfId="0" applyFont="1" applyFill="1" applyBorder="1" applyAlignment="1">
      <alignment horizontal="right" vertical="center"/>
    </xf>
    <xf numFmtId="0" fontId="4" fillId="6" borderId="2" xfId="0" applyFont="1" applyFill="1" applyBorder="1" applyAlignment="1">
      <alignment horizontal="center" vertical="center"/>
    </xf>
    <xf numFmtId="0" fontId="3" fillId="6" borderId="2" xfId="0" applyFont="1" applyFill="1" applyBorder="1" applyAlignment="1">
      <alignment horizontal="center" vertical="center"/>
    </xf>
    <xf numFmtId="0" fontId="6" fillId="7" borderId="2" xfId="0" applyFont="1" applyFill="1" applyBorder="1" applyAlignment="1">
      <alignment horizontal="center" vertical="center"/>
    </xf>
    <xf numFmtId="0" fontId="5" fillId="8" borderId="3" xfId="0" applyFont="1" applyFill="1" applyBorder="1" applyAlignment="1">
      <alignment horizontal="center" vertical="center"/>
    </xf>
    <xf numFmtId="0" fontId="7" fillId="3" borderId="1" xfId="0" applyFont="1" applyFill="1" applyBorder="1" applyAlignment="1">
      <alignment horizontal="center" vertical="center" wrapText="1"/>
    </xf>
    <xf numFmtId="0" fontId="8" fillId="9" borderId="0" xfId="0" applyFont="1" applyFill="1" applyAlignment="1">
      <alignment horizontal="right" vertical="center"/>
    </xf>
    <xf numFmtId="0" fontId="3" fillId="0" borderId="4" xfId="0" applyFont="1" applyBorder="1" applyAlignment="1">
      <alignment horizontal="right" vertical="center"/>
    </xf>
    <xf numFmtId="0" fontId="3" fillId="6" borderId="4" xfId="0" applyFont="1" applyFill="1" applyBorder="1" applyAlignment="1">
      <alignment horizontal="center" vertical="center"/>
    </xf>
    <xf numFmtId="0" fontId="9" fillId="10" borderId="4" xfId="0" applyFont="1" applyFill="1" applyBorder="1" applyAlignment="1">
      <alignment horizontal="center" vertical="center"/>
    </xf>
    <xf numFmtId="0" fontId="3" fillId="0" borderId="4" xfId="0" applyFont="1" applyBorder="1" applyAlignment="1">
      <alignment horizontal="center" vertical="center"/>
    </xf>
    <xf numFmtId="0" fontId="10" fillId="2" borderId="0" xfId="0" applyFont="1" applyFill="1" applyAlignment="1">
      <alignment horizontal="center" vertical="center"/>
    </xf>
    <xf numFmtId="0" fontId="11" fillId="3" borderId="1" xfId="0" applyFont="1" applyFill="1" applyBorder="1" applyAlignment="1">
      <alignment horizontal="center" vertical="center" wrapText="1"/>
    </xf>
    <xf numFmtId="0" fontId="12" fillId="4" borderId="2" xfId="0" applyFont="1" applyFill="1" applyBorder="1" applyAlignment="1">
      <alignment horizontal="right" vertical="center"/>
    </xf>
    <xf numFmtId="164" fontId="12" fillId="4" borderId="2" xfId="0" applyNumberFormat="1" applyFont="1" applyFill="1" applyBorder="1" applyAlignment="1">
      <alignment horizontal="center" vertical="center"/>
    </xf>
    <xf numFmtId="0" fontId="9" fillId="11" borderId="2" xfId="0" applyFont="1" applyFill="1" applyBorder="1" applyAlignment="1">
      <alignment horizontal="center" vertical="center"/>
    </xf>
    <xf numFmtId="9" fontId="9" fillId="4" borderId="2" xfId="0" applyNumberFormat="1" applyFont="1" applyFill="1" applyBorder="1" applyAlignment="1">
      <alignment horizontal="center" vertical="center"/>
    </xf>
    <xf numFmtId="0" fontId="12" fillId="4" borderId="2" xfId="0" applyFont="1" applyFill="1" applyBorder="1" applyAlignment="1">
      <alignment horizontal="center" vertical="center"/>
    </xf>
    <xf numFmtId="164" fontId="13" fillId="12" borderId="2" xfId="0" applyNumberFormat="1" applyFont="1" applyFill="1" applyBorder="1" applyAlignment="1">
      <alignment horizontal="center" vertical="center"/>
    </xf>
    <xf numFmtId="0" fontId="12" fillId="6" borderId="2" xfId="0" applyFont="1" applyFill="1" applyBorder="1" applyAlignment="1">
      <alignment horizontal="right" vertical="center"/>
    </xf>
    <xf numFmtId="164" fontId="12" fillId="6" borderId="2" xfId="0" applyNumberFormat="1" applyFont="1" applyFill="1" applyBorder="1" applyAlignment="1">
      <alignment horizontal="center" vertical="center"/>
    </xf>
    <xf numFmtId="9" fontId="9" fillId="6" borderId="2" xfId="0" applyNumberFormat="1" applyFont="1" applyFill="1" applyBorder="1" applyAlignment="1">
      <alignment horizontal="center" vertical="center"/>
    </xf>
    <xf numFmtId="0" fontId="12" fillId="6" borderId="2" xfId="0" applyFont="1" applyFill="1" applyBorder="1" applyAlignment="1">
      <alignment horizontal="center" vertical="center"/>
    </xf>
    <xf numFmtId="0" fontId="5" fillId="13" borderId="5" xfId="0" applyFont="1" applyFill="1" applyBorder="1" applyAlignment="1">
      <alignment horizontal="center" vertical="center"/>
    </xf>
    <xf numFmtId="164" fontId="5" fillId="13" borderId="5" xfId="0" applyNumberFormat="1" applyFont="1" applyFill="1" applyBorder="1" applyAlignment="1">
      <alignment horizontal="center" vertical="center"/>
    </xf>
    <xf numFmtId="0" fontId="14" fillId="14" borderId="0" xfId="0" applyFont="1" applyFill="1" applyAlignment="1">
      <alignment horizontal="center" vertical="center"/>
    </xf>
    <xf numFmtId="0" fontId="15" fillId="0" borderId="0" xfId="0" applyFont="1"/>
    <xf numFmtId="0" fontId="1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9"/>
  <sheetViews>
    <sheetView workbookViewId="0" rightToLeft="1"/>
  </sheetViews>
  <sheetFormatPr defaultRowHeight="15" outlineLevelRow="0" outlineLevelCol="0" x14ac:dyDescent="55"/>
  <cols>
    <col min="1" max="1" width="12" customWidth="1"/>
    <col min="2" max="2" width="22" customWidth="1"/>
    <col min="3" max="3" width="24" customWidth="1"/>
    <col min="4" max="33" width="6.5" customWidth="1"/>
    <col min="34" max="34" width="18" customWidth="1"/>
    <col min="35" max="35" width="22" customWidth="1"/>
  </cols>
  <sheetData>
    <row r="1" spans="1:36"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3" ht="28" customHeight="1" spans="1:35"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row>
    <row r="4" ht="22" customHeight="1" spans="1:35" x14ac:dyDescent="0.25">
      <c r="A4" s="3" t="s">
        <v>36</v>
      </c>
      <c r="B4" s="3" t="s">
        <v>37</v>
      </c>
      <c r="C4" s="3" t="s">
        <v>38</v>
      </c>
      <c r="D4" s="4">
        <v>5</v>
      </c>
      <c r="E4" s="4">
        <v>5</v>
      </c>
      <c r="F4" s="4">
        <v>5</v>
      </c>
      <c r="G4" s="4">
        <v>5</v>
      </c>
      <c r="H4" s="4">
        <v>5</v>
      </c>
      <c r="I4" s="4">
        <v>5</v>
      </c>
      <c r="J4" s="4">
        <v>5</v>
      </c>
      <c r="K4" s="4">
        <v>5</v>
      </c>
      <c r="L4" s="4">
        <v>5</v>
      </c>
      <c r="M4" s="4">
        <v>5</v>
      </c>
      <c r="N4" s="4">
        <v>5</v>
      </c>
      <c r="O4" s="4">
        <v>5</v>
      </c>
      <c r="P4" s="4">
        <v>5</v>
      </c>
      <c r="Q4" s="4">
        <v>5</v>
      </c>
      <c r="R4" s="4">
        <v>5</v>
      </c>
      <c r="S4" s="4">
        <v>5</v>
      </c>
      <c r="T4" s="4">
        <v>5</v>
      </c>
      <c r="U4" s="4">
        <v>5</v>
      </c>
      <c r="V4" s="4">
        <v>5</v>
      </c>
      <c r="W4" s="4">
        <v>5</v>
      </c>
      <c r="X4" s="4">
        <v>5</v>
      </c>
      <c r="Y4" s="4">
        <v>5</v>
      </c>
      <c r="Z4" s="4">
        <v>5</v>
      </c>
      <c r="AA4" s="4">
        <v>5</v>
      </c>
      <c r="AB4" s="4">
        <v>5</v>
      </c>
      <c r="AC4" s="4">
        <v>5</v>
      </c>
      <c r="AD4" s="4">
        <v>5</v>
      </c>
      <c r="AE4" s="4">
        <v>5</v>
      </c>
      <c r="AF4" s="4">
        <v>5</v>
      </c>
      <c r="AG4" s="4">
        <v>5</v>
      </c>
      <c r="AH4" s="5">
        <f>SUM(D4:AG4)</f>
      </c>
      <c r="AI4" s="6">
        <f>ROUND((AH4/150)*100, 0)</f>
      </c>
    </row>
    <row r="5" ht="22" customHeight="1" spans="1:35" x14ac:dyDescent="0.25">
      <c r="A5" s="7" t="s">
        <v>39</v>
      </c>
      <c r="B5" s="7" t="s">
        <v>40</v>
      </c>
      <c r="C5" s="7" t="s">
        <v>41</v>
      </c>
      <c r="D5" s="8">
        <v>5</v>
      </c>
      <c r="E5" s="8">
        <v>5</v>
      </c>
      <c r="F5" s="8">
        <v>5</v>
      </c>
      <c r="G5" s="8">
        <v>5</v>
      </c>
      <c r="H5" s="9">
        <v>4</v>
      </c>
      <c r="I5" s="8">
        <v>5</v>
      </c>
      <c r="J5" s="8">
        <v>5</v>
      </c>
      <c r="K5" s="8">
        <v>5</v>
      </c>
      <c r="L5" s="8">
        <v>5</v>
      </c>
      <c r="M5" s="10">
        <v>0</v>
      </c>
      <c r="N5" s="8">
        <v>5</v>
      </c>
      <c r="O5" s="8">
        <v>5</v>
      </c>
      <c r="P5" s="8">
        <v>5</v>
      </c>
      <c r="Q5" s="8">
        <v>5</v>
      </c>
      <c r="R5" s="9">
        <v>4</v>
      </c>
      <c r="S5" s="8">
        <v>5</v>
      </c>
      <c r="T5" s="8">
        <v>5</v>
      </c>
      <c r="U5" s="8">
        <v>5</v>
      </c>
      <c r="V5" s="8">
        <v>5</v>
      </c>
      <c r="W5" s="9">
        <v>4</v>
      </c>
      <c r="X5" s="8">
        <v>5</v>
      </c>
      <c r="Y5" s="8">
        <v>5</v>
      </c>
      <c r="Z5" s="8">
        <v>5</v>
      </c>
      <c r="AA5" s="8">
        <v>5</v>
      </c>
      <c r="AB5" s="9">
        <v>4</v>
      </c>
      <c r="AC5" s="8">
        <v>5</v>
      </c>
      <c r="AD5" s="8">
        <v>5</v>
      </c>
      <c r="AE5" s="8">
        <v>5</v>
      </c>
      <c r="AF5" s="8">
        <v>5</v>
      </c>
      <c r="AG5" s="9">
        <v>4</v>
      </c>
      <c r="AH5" s="9">
        <f>SUM(D5:AG5)</f>
      </c>
      <c r="AI5" s="6">
        <f>ROUND((AH5/150)*100, 0)</f>
      </c>
    </row>
    <row r="6" ht="22" customHeight="1" spans="1:35" x14ac:dyDescent="0.25">
      <c r="A6" s="3" t="s">
        <v>42</v>
      </c>
      <c r="B6" s="3" t="s">
        <v>43</v>
      </c>
      <c r="C6" s="3" t="s">
        <v>44</v>
      </c>
      <c r="D6" s="4">
        <v>5</v>
      </c>
      <c r="E6" s="4">
        <v>5</v>
      </c>
      <c r="F6" s="4">
        <v>5</v>
      </c>
      <c r="G6" s="4">
        <v>5</v>
      </c>
      <c r="H6" s="4">
        <v>5</v>
      </c>
      <c r="I6" s="4">
        <v>5</v>
      </c>
      <c r="J6" s="4">
        <v>5</v>
      </c>
      <c r="K6" s="4">
        <v>5</v>
      </c>
      <c r="L6" s="4">
        <v>5</v>
      </c>
      <c r="M6" s="4">
        <v>5</v>
      </c>
      <c r="N6" s="4">
        <v>5</v>
      </c>
      <c r="O6" s="4">
        <v>5</v>
      </c>
      <c r="P6" s="4">
        <v>5</v>
      </c>
      <c r="Q6" s="4">
        <v>5</v>
      </c>
      <c r="R6" s="4">
        <v>5</v>
      </c>
      <c r="S6" s="4">
        <v>5</v>
      </c>
      <c r="T6" s="4">
        <v>5</v>
      </c>
      <c r="U6" s="4">
        <v>5</v>
      </c>
      <c r="V6" s="4">
        <v>5</v>
      </c>
      <c r="W6" s="4">
        <v>5</v>
      </c>
      <c r="X6" s="4">
        <v>5</v>
      </c>
      <c r="Y6" s="4">
        <v>5</v>
      </c>
      <c r="Z6" s="4">
        <v>5</v>
      </c>
      <c r="AA6" s="4">
        <v>5</v>
      </c>
      <c r="AB6" s="4">
        <v>5</v>
      </c>
      <c r="AC6" s="4">
        <v>5</v>
      </c>
      <c r="AD6" s="4">
        <v>5</v>
      </c>
      <c r="AE6" s="4">
        <v>5</v>
      </c>
      <c r="AF6" s="4">
        <v>5</v>
      </c>
      <c r="AG6" s="4">
        <v>5</v>
      </c>
      <c r="AH6" s="5">
        <f>SUM(D6:AG6)</f>
      </c>
      <c r="AI6" s="6">
        <f>ROUND((AH6/150)*100, 0)</f>
      </c>
    </row>
    <row r="7" ht="22" customHeight="1" spans="1:35" x14ac:dyDescent="0.25">
      <c r="A7" s="7" t="s">
        <v>45</v>
      </c>
      <c r="B7" s="7" t="s">
        <v>46</v>
      </c>
      <c r="C7" s="7" t="s">
        <v>47</v>
      </c>
      <c r="D7" s="8">
        <v>5</v>
      </c>
      <c r="E7" s="8">
        <v>5</v>
      </c>
      <c r="F7" s="8">
        <v>5</v>
      </c>
      <c r="G7" s="8">
        <v>5</v>
      </c>
      <c r="H7" s="9">
        <v>4</v>
      </c>
      <c r="I7" s="8">
        <v>5</v>
      </c>
      <c r="J7" s="9">
        <v>3</v>
      </c>
      <c r="K7" s="8">
        <v>5</v>
      </c>
      <c r="L7" s="8">
        <v>5</v>
      </c>
      <c r="M7" s="9">
        <v>4</v>
      </c>
      <c r="N7" s="8">
        <v>5</v>
      </c>
      <c r="O7" s="8">
        <v>5</v>
      </c>
      <c r="P7" s="8">
        <v>5</v>
      </c>
      <c r="Q7" s="9">
        <v>3</v>
      </c>
      <c r="R7" s="9">
        <v>4</v>
      </c>
      <c r="S7" s="8">
        <v>5</v>
      </c>
      <c r="T7" s="8">
        <v>5</v>
      </c>
      <c r="U7" s="8">
        <v>5</v>
      </c>
      <c r="V7" s="8">
        <v>5</v>
      </c>
      <c r="W7" s="9">
        <v>4</v>
      </c>
      <c r="X7" s="9">
        <v>3</v>
      </c>
      <c r="Y7" s="8">
        <v>5</v>
      </c>
      <c r="Z7" s="8">
        <v>5</v>
      </c>
      <c r="AA7" s="8">
        <v>5</v>
      </c>
      <c r="AB7" s="9">
        <v>4</v>
      </c>
      <c r="AC7" s="8">
        <v>5</v>
      </c>
      <c r="AD7" s="8">
        <v>5</v>
      </c>
      <c r="AE7" s="9">
        <v>3</v>
      </c>
      <c r="AF7" s="8">
        <v>5</v>
      </c>
      <c r="AG7" s="9">
        <v>4</v>
      </c>
      <c r="AH7" s="9">
        <f>SUM(D7:AG7)</f>
      </c>
      <c r="AI7" s="6">
        <f>ROUND((AH7/150)*100, 0)</f>
      </c>
    </row>
    <row r="8" ht="22" customHeight="1" spans="1:35" x14ac:dyDescent="0.25">
      <c r="A8" s="3" t="s">
        <v>48</v>
      </c>
      <c r="B8" s="3" t="s">
        <v>49</v>
      </c>
      <c r="C8" s="3" t="s">
        <v>50</v>
      </c>
      <c r="D8" s="4">
        <v>5</v>
      </c>
      <c r="E8" s="4">
        <v>5</v>
      </c>
      <c r="F8" s="4">
        <v>5</v>
      </c>
      <c r="G8" s="4">
        <v>5</v>
      </c>
      <c r="H8" s="4">
        <v>5</v>
      </c>
      <c r="I8" s="4">
        <v>5</v>
      </c>
      <c r="J8" s="4">
        <v>5</v>
      </c>
      <c r="K8" s="4">
        <v>5</v>
      </c>
      <c r="L8" s="4">
        <v>5</v>
      </c>
      <c r="M8" s="4">
        <v>5</v>
      </c>
      <c r="N8" s="4">
        <v>5</v>
      </c>
      <c r="O8" s="4">
        <v>5</v>
      </c>
      <c r="P8" s="4">
        <v>5</v>
      </c>
      <c r="Q8" s="4">
        <v>5</v>
      </c>
      <c r="R8" s="4">
        <v>5</v>
      </c>
      <c r="S8" s="4">
        <v>5</v>
      </c>
      <c r="T8" s="4">
        <v>5</v>
      </c>
      <c r="U8" s="4">
        <v>5</v>
      </c>
      <c r="V8" s="4">
        <v>5</v>
      </c>
      <c r="W8" s="4">
        <v>5</v>
      </c>
      <c r="X8" s="4">
        <v>5</v>
      </c>
      <c r="Y8" s="4">
        <v>5</v>
      </c>
      <c r="Z8" s="4">
        <v>5</v>
      </c>
      <c r="AA8" s="4">
        <v>5</v>
      </c>
      <c r="AB8" s="4">
        <v>5</v>
      </c>
      <c r="AC8" s="4">
        <v>5</v>
      </c>
      <c r="AD8" s="4">
        <v>5</v>
      </c>
      <c r="AE8" s="4">
        <v>5</v>
      </c>
      <c r="AF8" s="4">
        <v>5</v>
      </c>
      <c r="AG8" s="4">
        <v>5</v>
      </c>
      <c r="AH8" s="5">
        <f>SUM(D8:AG8)</f>
      </c>
      <c r="AI8" s="6">
        <f>ROUND((AH8/150)*100, 0)</f>
      </c>
    </row>
    <row r="9" ht="22" customHeight="1" spans="1:35" x14ac:dyDescent="0.25">
      <c r="A9" s="7" t="s">
        <v>51</v>
      </c>
      <c r="B9" s="7" t="s">
        <v>52</v>
      </c>
      <c r="C9" s="7" t="s">
        <v>53</v>
      </c>
      <c r="D9" s="8">
        <v>5</v>
      </c>
      <c r="E9" s="8">
        <v>5</v>
      </c>
      <c r="F9" s="8">
        <v>5</v>
      </c>
      <c r="G9" s="8">
        <v>5</v>
      </c>
      <c r="H9" s="9">
        <v>4</v>
      </c>
      <c r="I9" s="8">
        <v>5</v>
      </c>
      <c r="J9" s="8">
        <v>5</v>
      </c>
      <c r="K9" s="8">
        <v>5</v>
      </c>
      <c r="L9" s="8">
        <v>5</v>
      </c>
      <c r="M9" s="10">
        <v>0</v>
      </c>
      <c r="N9" s="8">
        <v>5</v>
      </c>
      <c r="O9" s="8">
        <v>5</v>
      </c>
      <c r="P9" s="8">
        <v>5</v>
      </c>
      <c r="Q9" s="8">
        <v>5</v>
      </c>
      <c r="R9" s="9">
        <v>4</v>
      </c>
      <c r="S9" s="8">
        <v>5</v>
      </c>
      <c r="T9" s="8">
        <v>5</v>
      </c>
      <c r="U9" s="8">
        <v>5</v>
      </c>
      <c r="V9" s="8">
        <v>5</v>
      </c>
      <c r="W9" s="9">
        <v>4</v>
      </c>
      <c r="X9" s="8">
        <v>5</v>
      </c>
      <c r="Y9" s="8">
        <v>5</v>
      </c>
      <c r="Z9" s="8">
        <v>5</v>
      </c>
      <c r="AA9" s="8">
        <v>5</v>
      </c>
      <c r="AB9" s="9">
        <v>4</v>
      </c>
      <c r="AC9" s="8">
        <v>5</v>
      </c>
      <c r="AD9" s="8">
        <v>5</v>
      </c>
      <c r="AE9" s="8">
        <v>5</v>
      </c>
      <c r="AF9" s="8">
        <v>5</v>
      </c>
      <c r="AG9" s="9">
        <v>4</v>
      </c>
      <c r="AH9" s="9">
        <f>SUM(D9:AG9)</f>
      </c>
      <c r="AI9" s="6">
        <f>ROUND((AH9/150)*100, 0)</f>
      </c>
    </row>
  </sheetData>
  <mergeCells count="1">
    <mergeCell ref="A1:AJ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5"/>
  <sheetViews>
    <sheetView workbookViewId="0" rightToLeft="1"/>
  </sheetViews>
  <sheetFormatPr defaultRowHeight="15" outlineLevelRow="0" outlineLevelCol="0" x14ac:dyDescent="55"/>
  <cols>
    <col min="1" max="1" width="12" customWidth="1"/>
    <col min="2" max="2" width="22" customWidth="1"/>
    <col min="3" max="3" width="24" customWidth="1"/>
    <col min="4" max="33" width="6.5" customWidth="1"/>
    <col min="34" max="34" width="18" customWidth="1"/>
    <col min="35" max="35" width="22" customWidth="1"/>
  </cols>
  <sheetData>
    <row r="1" spans="1:36" x14ac:dyDescent="0.25">
      <c r="A1" s="1" t="s">
        <v>54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3" ht="28" customHeight="1" spans="1:35"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row>
    <row r="4" ht="22" customHeight="1" spans="1:35" x14ac:dyDescent="0.25">
      <c r="A4" s="3" t="s">
        <v>55</v>
      </c>
      <c r="B4" s="3" t="s">
        <v>56</v>
      </c>
      <c r="C4" s="3" t="s">
        <v>57</v>
      </c>
      <c r="D4" s="4">
        <v>5</v>
      </c>
      <c r="E4" s="4">
        <v>5</v>
      </c>
      <c r="F4" s="4">
        <v>5</v>
      </c>
      <c r="G4" s="4">
        <v>5</v>
      </c>
      <c r="H4" s="4">
        <v>5</v>
      </c>
      <c r="I4" s="4">
        <v>5</v>
      </c>
      <c r="J4" s="4">
        <v>5</v>
      </c>
      <c r="K4" s="4">
        <v>5</v>
      </c>
      <c r="L4" s="4">
        <v>5</v>
      </c>
      <c r="M4" s="4">
        <v>5</v>
      </c>
      <c r="N4" s="4">
        <v>5</v>
      </c>
      <c r="O4" s="4">
        <v>5</v>
      </c>
      <c r="P4" s="4">
        <v>5</v>
      </c>
      <c r="Q4" s="4">
        <v>5</v>
      </c>
      <c r="R4" s="4">
        <v>5</v>
      </c>
      <c r="S4" s="4">
        <v>5</v>
      </c>
      <c r="T4" s="4">
        <v>5</v>
      </c>
      <c r="U4" s="4">
        <v>5</v>
      </c>
      <c r="V4" s="4">
        <v>5</v>
      </c>
      <c r="W4" s="4">
        <v>5</v>
      </c>
      <c r="X4" s="4">
        <v>5</v>
      </c>
      <c r="Y4" s="4">
        <v>5</v>
      </c>
      <c r="Z4" s="4">
        <v>5</v>
      </c>
      <c r="AA4" s="4">
        <v>5</v>
      </c>
      <c r="AB4" s="4">
        <v>5</v>
      </c>
      <c r="AC4" s="4">
        <v>5</v>
      </c>
      <c r="AD4" s="4">
        <v>5</v>
      </c>
      <c r="AE4" s="4">
        <v>5</v>
      </c>
      <c r="AF4" s="4">
        <v>5</v>
      </c>
      <c r="AG4" s="4">
        <v>5</v>
      </c>
      <c r="AH4" s="5">
        <f>SUM(D4:AG4)</f>
      </c>
      <c r="AI4" s="6">
        <f>ROUND((AH4/150)*100, 0)</f>
      </c>
    </row>
    <row r="5" ht="22" customHeight="1" spans="1:35" x14ac:dyDescent="0.25">
      <c r="A5" s="7" t="s">
        <v>58</v>
      </c>
      <c r="B5" s="7" t="s">
        <v>59</v>
      </c>
      <c r="C5" s="7" t="s">
        <v>60</v>
      </c>
      <c r="D5" s="8">
        <v>5</v>
      </c>
      <c r="E5" s="8">
        <v>5</v>
      </c>
      <c r="F5" s="8">
        <v>5</v>
      </c>
      <c r="G5" s="8">
        <v>5</v>
      </c>
      <c r="H5" s="9">
        <v>4</v>
      </c>
      <c r="I5" s="8">
        <v>5</v>
      </c>
      <c r="J5" s="8">
        <v>5</v>
      </c>
      <c r="K5" s="8">
        <v>5</v>
      </c>
      <c r="L5" s="8">
        <v>5</v>
      </c>
      <c r="M5" s="10">
        <v>0</v>
      </c>
      <c r="N5" s="8">
        <v>5</v>
      </c>
      <c r="O5" s="8">
        <v>5</v>
      </c>
      <c r="P5" s="8">
        <v>5</v>
      </c>
      <c r="Q5" s="8">
        <v>5</v>
      </c>
      <c r="R5" s="9">
        <v>4</v>
      </c>
      <c r="S5" s="8">
        <v>5</v>
      </c>
      <c r="T5" s="8">
        <v>5</v>
      </c>
      <c r="U5" s="8">
        <v>5</v>
      </c>
      <c r="V5" s="8">
        <v>5</v>
      </c>
      <c r="W5" s="9">
        <v>4</v>
      </c>
      <c r="X5" s="8">
        <v>5</v>
      </c>
      <c r="Y5" s="8">
        <v>5</v>
      </c>
      <c r="Z5" s="8">
        <v>5</v>
      </c>
      <c r="AA5" s="8">
        <v>5</v>
      </c>
      <c r="AB5" s="9">
        <v>4</v>
      </c>
      <c r="AC5" s="8">
        <v>5</v>
      </c>
      <c r="AD5" s="8">
        <v>5</v>
      </c>
      <c r="AE5" s="8">
        <v>5</v>
      </c>
      <c r="AF5" s="8">
        <v>5</v>
      </c>
      <c r="AG5" s="9">
        <v>4</v>
      </c>
      <c r="AH5" s="9">
        <f>SUM(D5:AG5)</f>
      </c>
      <c r="AI5" s="6">
        <f>ROUND((AH5/150)*100, 0)</f>
      </c>
    </row>
    <row r="6" ht="22" customHeight="1" spans="1:35" x14ac:dyDescent="0.25">
      <c r="A6" s="3" t="s">
        <v>61</v>
      </c>
      <c r="B6" s="3" t="s">
        <v>62</v>
      </c>
      <c r="C6" s="3" t="s">
        <v>63</v>
      </c>
      <c r="D6" s="4">
        <v>5</v>
      </c>
      <c r="E6" s="4">
        <v>5</v>
      </c>
      <c r="F6" s="4">
        <v>5</v>
      </c>
      <c r="G6" s="4">
        <v>5</v>
      </c>
      <c r="H6" s="4">
        <v>5</v>
      </c>
      <c r="I6" s="4">
        <v>5</v>
      </c>
      <c r="J6" s="5">
        <v>3</v>
      </c>
      <c r="K6" s="4">
        <v>5</v>
      </c>
      <c r="L6" s="4">
        <v>5</v>
      </c>
      <c r="M6" s="10">
        <v>0</v>
      </c>
      <c r="N6" s="4">
        <v>5</v>
      </c>
      <c r="O6" s="4">
        <v>5</v>
      </c>
      <c r="P6" s="4">
        <v>5</v>
      </c>
      <c r="Q6" s="5">
        <v>3</v>
      </c>
      <c r="R6" s="4">
        <v>5</v>
      </c>
      <c r="S6" s="4">
        <v>5</v>
      </c>
      <c r="T6" s="4">
        <v>5</v>
      </c>
      <c r="U6" s="4">
        <v>5</v>
      </c>
      <c r="V6" s="4">
        <v>5</v>
      </c>
      <c r="W6" s="10">
        <v>0</v>
      </c>
      <c r="X6" s="5">
        <v>3</v>
      </c>
      <c r="Y6" s="4">
        <v>5</v>
      </c>
      <c r="Z6" s="4">
        <v>5</v>
      </c>
      <c r="AA6" s="4">
        <v>5</v>
      </c>
      <c r="AB6" s="4">
        <v>5</v>
      </c>
      <c r="AC6" s="4">
        <v>5</v>
      </c>
      <c r="AD6" s="4">
        <v>5</v>
      </c>
      <c r="AE6" s="5">
        <v>3</v>
      </c>
      <c r="AF6" s="4">
        <v>5</v>
      </c>
      <c r="AG6" s="4">
        <v>5</v>
      </c>
      <c r="AH6" s="5">
        <f>SUM(D6:AG6)</f>
      </c>
      <c r="AI6" s="6">
        <f>ROUND((AH6/150)*100, 0)</f>
      </c>
    </row>
    <row r="7" ht="22" customHeight="1" spans="1:35" x14ac:dyDescent="0.25">
      <c r="A7" s="7" t="s">
        <v>64</v>
      </c>
      <c r="B7" s="7" t="s">
        <v>65</v>
      </c>
      <c r="C7" s="7" t="s">
        <v>63</v>
      </c>
      <c r="D7" s="8">
        <v>5</v>
      </c>
      <c r="E7" s="8">
        <v>5</v>
      </c>
      <c r="F7" s="8">
        <v>5</v>
      </c>
      <c r="G7" s="8">
        <v>5</v>
      </c>
      <c r="H7" s="9">
        <v>4</v>
      </c>
      <c r="I7" s="8">
        <v>5</v>
      </c>
      <c r="J7" s="8">
        <v>5</v>
      </c>
      <c r="K7" s="8">
        <v>5</v>
      </c>
      <c r="L7" s="8">
        <v>5</v>
      </c>
      <c r="M7" s="9">
        <v>4</v>
      </c>
      <c r="N7" s="8">
        <v>5</v>
      </c>
      <c r="O7" s="8">
        <v>5</v>
      </c>
      <c r="P7" s="8">
        <v>5</v>
      </c>
      <c r="Q7" s="8">
        <v>5</v>
      </c>
      <c r="R7" s="9">
        <v>4</v>
      </c>
      <c r="S7" s="8">
        <v>5</v>
      </c>
      <c r="T7" s="8">
        <v>5</v>
      </c>
      <c r="U7" s="8">
        <v>5</v>
      </c>
      <c r="V7" s="8">
        <v>5</v>
      </c>
      <c r="W7" s="9">
        <v>4</v>
      </c>
      <c r="X7" s="8">
        <v>5</v>
      </c>
      <c r="Y7" s="8">
        <v>5</v>
      </c>
      <c r="Z7" s="8">
        <v>5</v>
      </c>
      <c r="AA7" s="8">
        <v>5</v>
      </c>
      <c r="AB7" s="9">
        <v>4</v>
      </c>
      <c r="AC7" s="8">
        <v>5</v>
      </c>
      <c r="AD7" s="8">
        <v>5</v>
      </c>
      <c r="AE7" s="8">
        <v>5</v>
      </c>
      <c r="AF7" s="8">
        <v>5</v>
      </c>
      <c r="AG7" s="9">
        <v>4</v>
      </c>
      <c r="AH7" s="9">
        <f>SUM(D7:AG7)</f>
      </c>
      <c r="AI7" s="6">
        <f>ROUND((AH7/150)*100, 0)</f>
      </c>
    </row>
    <row r="8" ht="22" customHeight="1" spans="1:35" x14ac:dyDescent="0.25">
      <c r="A8" s="3" t="s">
        <v>66</v>
      </c>
      <c r="B8" s="3" t="s">
        <v>67</v>
      </c>
      <c r="C8" s="3" t="s">
        <v>63</v>
      </c>
      <c r="D8" s="4">
        <v>5</v>
      </c>
      <c r="E8" s="4">
        <v>5</v>
      </c>
      <c r="F8" s="4">
        <v>5</v>
      </c>
      <c r="G8" s="4">
        <v>5</v>
      </c>
      <c r="H8" s="4">
        <v>5</v>
      </c>
      <c r="I8" s="4">
        <v>5</v>
      </c>
      <c r="J8" s="4">
        <v>5</v>
      </c>
      <c r="K8" s="4">
        <v>5</v>
      </c>
      <c r="L8" s="4">
        <v>5</v>
      </c>
      <c r="M8" s="4">
        <v>5</v>
      </c>
      <c r="N8" s="4">
        <v>5</v>
      </c>
      <c r="O8" s="4">
        <v>5</v>
      </c>
      <c r="P8" s="4">
        <v>5</v>
      </c>
      <c r="Q8" s="4">
        <v>5</v>
      </c>
      <c r="R8" s="4">
        <v>5</v>
      </c>
      <c r="S8" s="4">
        <v>5</v>
      </c>
      <c r="T8" s="4">
        <v>5</v>
      </c>
      <c r="U8" s="4">
        <v>5</v>
      </c>
      <c r="V8" s="4">
        <v>5</v>
      </c>
      <c r="W8" s="4">
        <v>5</v>
      </c>
      <c r="X8" s="4">
        <v>5</v>
      </c>
      <c r="Y8" s="4">
        <v>5</v>
      </c>
      <c r="Z8" s="4">
        <v>5</v>
      </c>
      <c r="AA8" s="4">
        <v>5</v>
      </c>
      <c r="AB8" s="4">
        <v>5</v>
      </c>
      <c r="AC8" s="4">
        <v>5</v>
      </c>
      <c r="AD8" s="4">
        <v>5</v>
      </c>
      <c r="AE8" s="4">
        <v>5</v>
      </c>
      <c r="AF8" s="4">
        <v>5</v>
      </c>
      <c r="AG8" s="4">
        <v>5</v>
      </c>
      <c r="AH8" s="5">
        <f>SUM(D8:AG8)</f>
      </c>
      <c r="AI8" s="6">
        <f>ROUND((AH8/150)*100, 0)</f>
      </c>
    </row>
    <row r="9" ht="22" customHeight="1" spans="1:35" x14ac:dyDescent="0.25">
      <c r="A9" s="7" t="s">
        <v>68</v>
      </c>
      <c r="B9" s="7" t="s">
        <v>69</v>
      </c>
      <c r="C9" s="7" t="s">
        <v>63</v>
      </c>
      <c r="D9" s="8">
        <v>5</v>
      </c>
      <c r="E9" s="8">
        <v>5</v>
      </c>
      <c r="F9" s="8">
        <v>5</v>
      </c>
      <c r="G9" s="8">
        <v>5</v>
      </c>
      <c r="H9" s="9">
        <v>4</v>
      </c>
      <c r="I9" s="8">
        <v>5</v>
      </c>
      <c r="J9" s="9">
        <v>3</v>
      </c>
      <c r="K9" s="8">
        <v>5</v>
      </c>
      <c r="L9" s="8">
        <v>5</v>
      </c>
      <c r="M9" s="10">
        <v>0</v>
      </c>
      <c r="N9" s="8">
        <v>5</v>
      </c>
      <c r="O9" s="8">
        <v>5</v>
      </c>
      <c r="P9" s="8">
        <v>5</v>
      </c>
      <c r="Q9" s="9">
        <v>3</v>
      </c>
      <c r="R9" s="9">
        <v>4</v>
      </c>
      <c r="S9" s="8">
        <v>5</v>
      </c>
      <c r="T9" s="8">
        <v>5</v>
      </c>
      <c r="U9" s="8">
        <v>5</v>
      </c>
      <c r="V9" s="8">
        <v>5</v>
      </c>
      <c r="W9" s="10">
        <v>0</v>
      </c>
      <c r="X9" s="9">
        <v>3</v>
      </c>
      <c r="Y9" s="8">
        <v>5</v>
      </c>
      <c r="Z9" s="8">
        <v>5</v>
      </c>
      <c r="AA9" s="8">
        <v>5</v>
      </c>
      <c r="AB9" s="9">
        <v>4</v>
      </c>
      <c r="AC9" s="8">
        <v>5</v>
      </c>
      <c r="AD9" s="8">
        <v>5</v>
      </c>
      <c r="AE9" s="9">
        <v>3</v>
      </c>
      <c r="AF9" s="8">
        <v>5</v>
      </c>
      <c r="AG9" s="10">
        <v>0</v>
      </c>
      <c r="AH9" s="9">
        <f>SUM(D9:AG9)</f>
      </c>
      <c r="AI9" s="6">
        <f>ROUND((AH9/150)*100, 0)</f>
      </c>
    </row>
    <row r="10" ht="22" customHeight="1" spans="1:35" x14ac:dyDescent="0.25">
      <c r="A10" s="3" t="s">
        <v>70</v>
      </c>
      <c r="B10" s="3" t="s">
        <v>71</v>
      </c>
      <c r="C10" s="3" t="s">
        <v>72</v>
      </c>
      <c r="D10" s="4">
        <v>5</v>
      </c>
      <c r="E10" s="4">
        <v>5</v>
      </c>
      <c r="F10" s="4">
        <v>5</v>
      </c>
      <c r="G10" s="4">
        <v>5</v>
      </c>
      <c r="H10" s="4">
        <v>5</v>
      </c>
      <c r="I10" s="4">
        <v>5</v>
      </c>
      <c r="J10" s="4">
        <v>5</v>
      </c>
      <c r="K10" s="4">
        <v>5</v>
      </c>
      <c r="L10" s="4">
        <v>5</v>
      </c>
      <c r="M10" s="4">
        <v>5</v>
      </c>
      <c r="N10" s="4">
        <v>5</v>
      </c>
      <c r="O10" s="4">
        <v>5</v>
      </c>
      <c r="P10" s="4">
        <v>5</v>
      </c>
      <c r="Q10" s="4">
        <v>5</v>
      </c>
      <c r="R10" s="4">
        <v>5</v>
      </c>
      <c r="S10" s="4">
        <v>5</v>
      </c>
      <c r="T10" s="4">
        <v>5</v>
      </c>
      <c r="U10" s="4">
        <v>5</v>
      </c>
      <c r="V10" s="4">
        <v>5</v>
      </c>
      <c r="W10" s="4">
        <v>5</v>
      </c>
      <c r="X10" s="4">
        <v>5</v>
      </c>
      <c r="Y10" s="4">
        <v>5</v>
      </c>
      <c r="Z10" s="4">
        <v>5</v>
      </c>
      <c r="AA10" s="4">
        <v>5</v>
      </c>
      <c r="AB10" s="4">
        <v>5</v>
      </c>
      <c r="AC10" s="4">
        <v>5</v>
      </c>
      <c r="AD10" s="4">
        <v>5</v>
      </c>
      <c r="AE10" s="4">
        <v>5</v>
      </c>
      <c r="AF10" s="4">
        <v>5</v>
      </c>
      <c r="AG10" s="4">
        <v>5</v>
      </c>
      <c r="AH10" s="5">
        <f>SUM(D10:AG10)</f>
      </c>
      <c r="AI10" s="6">
        <f>ROUND((AH10/150)*100, 0)</f>
      </c>
    </row>
    <row r="11" ht="22" customHeight="1" spans="1:35" x14ac:dyDescent="0.25">
      <c r="A11" s="7" t="s">
        <v>73</v>
      </c>
      <c r="B11" s="7" t="s">
        <v>74</v>
      </c>
      <c r="C11" s="7" t="s">
        <v>75</v>
      </c>
      <c r="D11" s="8">
        <v>5</v>
      </c>
      <c r="E11" s="8">
        <v>5</v>
      </c>
      <c r="F11" s="8">
        <v>5</v>
      </c>
      <c r="G11" s="8">
        <v>5</v>
      </c>
      <c r="H11" s="9">
        <v>4</v>
      </c>
      <c r="I11" s="8">
        <v>5</v>
      </c>
      <c r="J11" s="8">
        <v>5</v>
      </c>
      <c r="K11" s="8">
        <v>5</v>
      </c>
      <c r="L11" s="8">
        <v>5</v>
      </c>
      <c r="M11" s="9">
        <v>4</v>
      </c>
      <c r="N11" s="8">
        <v>5</v>
      </c>
      <c r="O11" s="8">
        <v>5</v>
      </c>
      <c r="P11" s="8">
        <v>5</v>
      </c>
      <c r="Q11" s="8">
        <v>5</v>
      </c>
      <c r="R11" s="9">
        <v>4</v>
      </c>
      <c r="S11" s="8">
        <v>5</v>
      </c>
      <c r="T11" s="8">
        <v>5</v>
      </c>
      <c r="U11" s="8">
        <v>5</v>
      </c>
      <c r="V11" s="8">
        <v>5</v>
      </c>
      <c r="W11" s="9">
        <v>4</v>
      </c>
      <c r="X11" s="8">
        <v>5</v>
      </c>
      <c r="Y11" s="8">
        <v>5</v>
      </c>
      <c r="Z11" s="8">
        <v>5</v>
      </c>
      <c r="AA11" s="8">
        <v>5</v>
      </c>
      <c r="AB11" s="9">
        <v>4</v>
      </c>
      <c r="AC11" s="8">
        <v>5</v>
      </c>
      <c r="AD11" s="8">
        <v>5</v>
      </c>
      <c r="AE11" s="8">
        <v>5</v>
      </c>
      <c r="AF11" s="8">
        <v>5</v>
      </c>
      <c r="AG11" s="9">
        <v>4</v>
      </c>
      <c r="AH11" s="9">
        <f>SUM(D11:AG11)</f>
      </c>
      <c r="AI11" s="6">
        <f>ROUND((AH11/150)*100, 0)</f>
      </c>
    </row>
    <row r="12" ht="22" customHeight="1" spans="1:35" x14ac:dyDescent="0.25">
      <c r="A12" s="3" t="s">
        <v>76</v>
      </c>
      <c r="B12" s="3" t="s">
        <v>77</v>
      </c>
      <c r="C12" s="3" t="s">
        <v>75</v>
      </c>
      <c r="D12" s="4">
        <v>5</v>
      </c>
      <c r="E12" s="4">
        <v>5</v>
      </c>
      <c r="F12" s="4">
        <v>5</v>
      </c>
      <c r="G12" s="4">
        <v>5</v>
      </c>
      <c r="H12" s="4">
        <v>5</v>
      </c>
      <c r="I12" s="4">
        <v>5</v>
      </c>
      <c r="J12" s="4">
        <v>5</v>
      </c>
      <c r="K12" s="4">
        <v>5</v>
      </c>
      <c r="L12" s="4">
        <v>5</v>
      </c>
      <c r="M12" s="10">
        <v>0</v>
      </c>
      <c r="N12" s="4">
        <v>5</v>
      </c>
      <c r="O12" s="4">
        <v>5</v>
      </c>
      <c r="P12" s="4">
        <v>5</v>
      </c>
      <c r="Q12" s="4">
        <v>5</v>
      </c>
      <c r="R12" s="4">
        <v>5</v>
      </c>
      <c r="S12" s="4">
        <v>5</v>
      </c>
      <c r="T12" s="4">
        <v>5</v>
      </c>
      <c r="U12" s="4">
        <v>5</v>
      </c>
      <c r="V12" s="4">
        <v>5</v>
      </c>
      <c r="W12" s="4">
        <v>5</v>
      </c>
      <c r="X12" s="4">
        <v>5</v>
      </c>
      <c r="Y12" s="4">
        <v>5</v>
      </c>
      <c r="Z12" s="4">
        <v>5</v>
      </c>
      <c r="AA12" s="4">
        <v>5</v>
      </c>
      <c r="AB12" s="4">
        <v>5</v>
      </c>
      <c r="AC12" s="4">
        <v>5</v>
      </c>
      <c r="AD12" s="4">
        <v>5</v>
      </c>
      <c r="AE12" s="4">
        <v>5</v>
      </c>
      <c r="AF12" s="4">
        <v>5</v>
      </c>
      <c r="AG12" s="4">
        <v>5</v>
      </c>
      <c r="AH12" s="5">
        <f>SUM(D12:AG12)</f>
      </c>
      <c r="AI12" s="6">
        <f>ROUND((AH12/150)*100, 0)</f>
      </c>
    </row>
    <row r="13" ht="22" customHeight="1" spans="1:35" x14ac:dyDescent="0.25">
      <c r="A13" s="7" t="s">
        <v>78</v>
      </c>
      <c r="B13" s="7" t="s">
        <v>79</v>
      </c>
      <c r="C13" s="7" t="s">
        <v>80</v>
      </c>
      <c r="D13" s="8">
        <v>5</v>
      </c>
      <c r="E13" s="8">
        <v>5</v>
      </c>
      <c r="F13" s="8">
        <v>5</v>
      </c>
      <c r="G13" s="8">
        <v>5</v>
      </c>
      <c r="H13" s="9">
        <v>4</v>
      </c>
      <c r="I13" s="8">
        <v>5</v>
      </c>
      <c r="J13" s="8">
        <v>5</v>
      </c>
      <c r="K13" s="8">
        <v>5</v>
      </c>
      <c r="L13" s="8">
        <v>5</v>
      </c>
      <c r="M13" s="10">
        <v>0</v>
      </c>
      <c r="N13" s="8">
        <v>5</v>
      </c>
      <c r="O13" s="8">
        <v>5</v>
      </c>
      <c r="P13" s="8">
        <v>5</v>
      </c>
      <c r="Q13" s="8">
        <v>5</v>
      </c>
      <c r="R13" s="9">
        <v>4</v>
      </c>
      <c r="S13" s="8">
        <v>5</v>
      </c>
      <c r="T13" s="8">
        <v>5</v>
      </c>
      <c r="U13" s="8">
        <v>5</v>
      </c>
      <c r="V13" s="8">
        <v>5</v>
      </c>
      <c r="W13" s="10">
        <v>0</v>
      </c>
      <c r="X13" s="8">
        <v>5</v>
      </c>
      <c r="Y13" s="8">
        <v>5</v>
      </c>
      <c r="Z13" s="8">
        <v>5</v>
      </c>
      <c r="AA13" s="8">
        <v>5</v>
      </c>
      <c r="AB13" s="9">
        <v>4</v>
      </c>
      <c r="AC13" s="8">
        <v>5</v>
      </c>
      <c r="AD13" s="8">
        <v>5</v>
      </c>
      <c r="AE13" s="8">
        <v>5</v>
      </c>
      <c r="AF13" s="8">
        <v>5</v>
      </c>
      <c r="AG13" s="9">
        <v>4</v>
      </c>
      <c r="AH13" s="9">
        <f>SUM(D13:AG13)</f>
      </c>
      <c r="AI13" s="6">
        <f>ROUND((AH13/150)*100, 0)</f>
      </c>
    </row>
    <row r="14" ht="22" customHeight="1" spans="1:35" x14ac:dyDescent="0.25">
      <c r="A14" s="3" t="s">
        <v>81</v>
      </c>
      <c r="B14" s="3" t="s">
        <v>82</v>
      </c>
      <c r="C14" s="3" t="s">
        <v>83</v>
      </c>
      <c r="D14" s="4">
        <v>5</v>
      </c>
      <c r="E14" s="4">
        <v>5</v>
      </c>
      <c r="F14" s="4">
        <v>5</v>
      </c>
      <c r="G14" s="4">
        <v>5</v>
      </c>
      <c r="H14" s="4">
        <v>5</v>
      </c>
      <c r="I14" s="4">
        <v>5</v>
      </c>
      <c r="J14" s="4">
        <v>5</v>
      </c>
      <c r="K14" s="4">
        <v>5</v>
      </c>
      <c r="L14" s="4">
        <v>5</v>
      </c>
      <c r="M14" s="4">
        <v>5</v>
      </c>
      <c r="N14" s="4">
        <v>5</v>
      </c>
      <c r="O14" s="4">
        <v>5</v>
      </c>
      <c r="P14" s="4">
        <v>5</v>
      </c>
      <c r="Q14" s="4">
        <v>5</v>
      </c>
      <c r="R14" s="4">
        <v>5</v>
      </c>
      <c r="S14" s="4">
        <v>5</v>
      </c>
      <c r="T14" s="4">
        <v>5</v>
      </c>
      <c r="U14" s="4">
        <v>5</v>
      </c>
      <c r="V14" s="4">
        <v>5</v>
      </c>
      <c r="W14" s="4">
        <v>5</v>
      </c>
      <c r="X14" s="4">
        <v>5</v>
      </c>
      <c r="Y14" s="4">
        <v>5</v>
      </c>
      <c r="Z14" s="4">
        <v>5</v>
      </c>
      <c r="AA14" s="4">
        <v>5</v>
      </c>
      <c r="AB14" s="4">
        <v>5</v>
      </c>
      <c r="AC14" s="4">
        <v>5</v>
      </c>
      <c r="AD14" s="4">
        <v>5</v>
      </c>
      <c r="AE14" s="4">
        <v>5</v>
      </c>
      <c r="AF14" s="4">
        <v>5</v>
      </c>
      <c r="AG14" s="4">
        <v>5</v>
      </c>
      <c r="AH14" s="5">
        <f>SUM(D14:AG14)</f>
      </c>
      <c r="AI14" s="6">
        <f>ROUND((AH14/150)*100, 0)</f>
      </c>
    </row>
    <row r="15" ht="22" customHeight="1" spans="1:35" x14ac:dyDescent="0.25">
      <c r="A15" s="7" t="s">
        <v>84</v>
      </c>
      <c r="B15" s="7" t="s">
        <v>85</v>
      </c>
      <c r="C15" s="7" t="s">
        <v>86</v>
      </c>
      <c r="D15" s="8">
        <v>5</v>
      </c>
      <c r="E15" s="8">
        <v>5</v>
      </c>
      <c r="F15" s="8">
        <v>5</v>
      </c>
      <c r="G15" s="8">
        <v>5</v>
      </c>
      <c r="H15" s="9">
        <v>4</v>
      </c>
      <c r="I15" s="8">
        <v>5</v>
      </c>
      <c r="J15" s="9">
        <v>3</v>
      </c>
      <c r="K15" s="8">
        <v>5</v>
      </c>
      <c r="L15" s="8">
        <v>5</v>
      </c>
      <c r="M15" s="9">
        <v>4</v>
      </c>
      <c r="N15" s="8">
        <v>5</v>
      </c>
      <c r="O15" s="8">
        <v>5</v>
      </c>
      <c r="P15" s="8">
        <v>5</v>
      </c>
      <c r="Q15" s="9">
        <v>3</v>
      </c>
      <c r="R15" s="9">
        <v>4</v>
      </c>
      <c r="S15" s="8">
        <v>5</v>
      </c>
      <c r="T15" s="8">
        <v>5</v>
      </c>
      <c r="U15" s="8">
        <v>5</v>
      </c>
      <c r="V15" s="8">
        <v>5</v>
      </c>
      <c r="W15" s="9">
        <v>4</v>
      </c>
      <c r="X15" s="9">
        <v>3</v>
      </c>
      <c r="Y15" s="8">
        <v>5</v>
      </c>
      <c r="Z15" s="8">
        <v>5</v>
      </c>
      <c r="AA15" s="8">
        <v>5</v>
      </c>
      <c r="AB15" s="9">
        <v>4</v>
      </c>
      <c r="AC15" s="8">
        <v>5</v>
      </c>
      <c r="AD15" s="8">
        <v>5</v>
      </c>
      <c r="AE15" s="9">
        <v>3</v>
      </c>
      <c r="AF15" s="8">
        <v>5</v>
      </c>
      <c r="AG15" s="9">
        <v>4</v>
      </c>
      <c r="AH15" s="9">
        <f>SUM(D15:AG15)</f>
      </c>
      <c r="AI15" s="6">
        <f>ROUND((AH15/150)*100, 0)</f>
      </c>
    </row>
  </sheetData>
  <mergeCells count="1">
    <mergeCell ref="A1:AJ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1"/>
  <sheetViews>
    <sheetView workbookViewId="0" rightToLeft="1"/>
  </sheetViews>
  <sheetFormatPr defaultRowHeight="15" outlineLevelRow="0" outlineLevelCol="0" x14ac:dyDescent="55"/>
  <cols>
    <col min="1" max="1" width="12" customWidth="1"/>
    <col min="2" max="2" width="22" customWidth="1"/>
    <col min="3" max="3" width="24" customWidth="1"/>
    <col min="4" max="33" width="6.5" customWidth="1"/>
    <col min="34" max="34" width="18" customWidth="1"/>
    <col min="35" max="35" width="22" customWidth="1"/>
  </cols>
  <sheetData>
    <row r="1" spans="1:36" x14ac:dyDescent="0.25">
      <c r="A1" s="1" t="s">
        <v>87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3" ht="28" customHeight="1" spans="1:35"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row>
    <row r="4" ht="22" customHeight="1" spans="1:35" x14ac:dyDescent="0.25">
      <c r="A4" s="3" t="s">
        <v>88</v>
      </c>
      <c r="B4" s="3" t="s">
        <v>89</v>
      </c>
      <c r="C4" s="3" t="s">
        <v>90</v>
      </c>
      <c r="D4" s="4">
        <v>5</v>
      </c>
      <c r="E4" s="4">
        <v>5</v>
      </c>
      <c r="F4" s="4">
        <v>5</v>
      </c>
      <c r="G4" s="4">
        <v>5</v>
      </c>
      <c r="H4" s="4">
        <v>5</v>
      </c>
      <c r="I4" s="4">
        <v>5</v>
      </c>
      <c r="J4" s="4">
        <v>5</v>
      </c>
      <c r="K4" s="4">
        <v>5</v>
      </c>
      <c r="L4" s="4">
        <v>5</v>
      </c>
      <c r="M4" s="4">
        <v>5</v>
      </c>
      <c r="N4" s="4">
        <v>5</v>
      </c>
      <c r="O4" s="4">
        <v>5</v>
      </c>
      <c r="P4" s="4">
        <v>5</v>
      </c>
      <c r="Q4" s="4">
        <v>5</v>
      </c>
      <c r="R4" s="4">
        <v>5</v>
      </c>
      <c r="S4" s="4">
        <v>5</v>
      </c>
      <c r="T4" s="4">
        <v>5</v>
      </c>
      <c r="U4" s="4">
        <v>5</v>
      </c>
      <c r="V4" s="4">
        <v>5</v>
      </c>
      <c r="W4" s="4">
        <v>5</v>
      </c>
      <c r="X4" s="4">
        <v>5</v>
      </c>
      <c r="Y4" s="4">
        <v>5</v>
      </c>
      <c r="Z4" s="4">
        <v>5</v>
      </c>
      <c r="AA4" s="4">
        <v>5</v>
      </c>
      <c r="AB4" s="4">
        <v>5</v>
      </c>
      <c r="AC4" s="4">
        <v>5</v>
      </c>
      <c r="AD4" s="4">
        <v>5</v>
      </c>
      <c r="AE4" s="4">
        <v>5</v>
      </c>
      <c r="AF4" s="4">
        <v>5</v>
      </c>
      <c r="AG4" s="4">
        <v>5</v>
      </c>
      <c r="AH4" s="5">
        <f>SUM(D4:AG4)</f>
      </c>
      <c r="AI4" s="6">
        <f>ROUND((AH4/150)*100, 0)</f>
      </c>
    </row>
    <row r="5" ht="22" customHeight="1" spans="1:35" x14ac:dyDescent="0.25">
      <c r="A5" s="7" t="s">
        <v>91</v>
      </c>
      <c r="B5" s="7" t="s">
        <v>92</v>
      </c>
      <c r="C5" s="7" t="s">
        <v>93</v>
      </c>
      <c r="D5" s="8">
        <v>5</v>
      </c>
      <c r="E5" s="8">
        <v>5</v>
      </c>
      <c r="F5" s="8">
        <v>5</v>
      </c>
      <c r="G5" s="8">
        <v>5</v>
      </c>
      <c r="H5" s="9">
        <v>4</v>
      </c>
      <c r="I5" s="8">
        <v>5</v>
      </c>
      <c r="J5" s="8">
        <v>5</v>
      </c>
      <c r="K5" s="8">
        <v>5</v>
      </c>
      <c r="L5" s="8">
        <v>5</v>
      </c>
      <c r="M5" s="9">
        <v>4</v>
      </c>
      <c r="N5" s="8">
        <v>5</v>
      </c>
      <c r="O5" s="8">
        <v>5</v>
      </c>
      <c r="P5" s="8">
        <v>5</v>
      </c>
      <c r="Q5" s="8">
        <v>5</v>
      </c>
      <c r="R5" s="9">
        <v>4</v>
      </c>
      <c r="S5" s="8">
        <v>5</v>
      </c>
      <c r="T5" s="8">
        <v>5</v>
      </c>
      <c r="U5" s="8">
        <v>5</v>
      </c>
      <c r="V5" s="8">
        <v>5</v>
      </c>
      <c r="W5" s="9">
        <v>4</v>
      </c>
      <c r="X5" s="8">
        <v>5</v>
      </c>
      <c r="Y5" s="8">
        <v>5</v>
      </c>
      <c r="Z5" s="8">
        <v>5</v>
      </c>
      <c r="AA5" s="8">
        <v>5</v>
      </c>
      <c r="AB5" s="9">
        <v>4</v>
      </c>
      <c r="AC5" s="8">
        <v>5</v>
      </c>
      <c r="AD5" s="8">
        <v>5</v>
      </c>
      <c r="AE5" s="8">
        <v>5</v>
      </c>
      <c r="AF5" s="8">
        <v>5</v>
      </c>
      <c r="AG5" s="9">
        <v>4</v>
      </c>
      <c r="AH5" s="9">
        <f>SUM(D5:AG5)</f>
      </c>
      <c r="AI5" s="6">
        <f>ROUND((AH5/150)*100, 0)</f>
      </c>
    </row>
    <row r="6" ht="22" customHeight="1" spans="1:35" x14ac:dyDescent="0.25">
      <c r="A6" s="3" t="s">
        <v>94</v>
      </c>
      <c r="B6" s="3" t="s">
        <v>95</v>
      </c>
      <c r="C6" s="3" t="s">
        <v>96</v>
      </c>
      <c r="D6" s="4">
        <v>5</v>
      </c>
      <c r="E6" s="4">
        <v>5</v>
      </c>
      <c r="F6" s="4">
        <v>5</v>
      </c>
      <c r="G6" s="4">
        <v>5</v>
      </c>
      <c r="H6" s="4">
        <v>5</v>
      </c>
      <c r="I6" s="4">
        <v>5</v>
      </c>
      <c r="J6" s="4">
        <v>5</v>
      </c>
      <c r="K6" s="4">
        <v>5</v>
      </c>
      <c r="L6" s="4">
        <v>5</v>
      </c>
      <c r="M6" s="4">
        <v>5</v>
      </c>
      <c r="N6" s="4">
        <v>5</v>
      </c>
      <c r="O6" s="4">
        <v>5</v>
      </c>
      <c r="P6" s="4">
        <v>5</v>
      </c>
      <c r="Q6" s="4">
        <v>5</v>
      </c>
      <c r="R6" s="4">
        <v>5</v>
      </c>
      <c r="S6" s="4">
        <v>5</v>
      </c>
      <c r="T6" s="4">
        <v>5</v>
      </c>
      <c r="U6" s="4">
        <v>5</v>
      </c>
      <c r="V6" s="4">
        <v>5</v>
      </c>
      <c r="W6" s="4">
        <v>5</v>
      </c>
      <c r="X6" s="4">
        <v>5</v>
      </c>
      <c r="Y6" s="4">
        <v>5</v>
      </c>
      <c r="Z6" s="4">
        <v>5</v>
      </c>
      <c r="AA6" s="4">
        <v>5</v>
      </c>
      <c r="AB6" s="4">
        <v>5</v>
      </c>
      <c r="AC6" s="4">
        <v>5</v>
      </c>
      <c r="AD6" s="4">
        <v>5</v>
      </c>
      <c r="AE6" s="4">
        <v>5</v>
      </c>
      <c r="AF6" s="4">
        <v>5</v>
      </c>
      <c r="AG6" s="4">
        <v>5</v>
      </c>
      <c r="AH6" s="5">
        <f>SUM(D6:AG6)</f>
      </c>
      <c r="AI6" s="6">
        <f>ROUND((AH6/150)*100, 0)</f>
      </c>
    </row>
    <row r="7" ht="22" customHeight="1" spans="1:35" x14ac:dyDescent="0.25">
      <c r="A7" s="7" t="s">
        <v>97</v>
      </c>
      <c r="B7" s="7" t="s">
        <v>98</v>
      </c>
      <c r="C7" s="7" t="s">
        <v>99</v>
      </c>
      <c r="D7" s="8">
        <v>5</v>
      </c>
      <c r="E7" s="8">
        <v>5</v>
      </c>
      <c r="F7" s="8">
        <v>5</v>
      </c>
      <c r="G7" s="8">
        <v>5</v>
      </c>
      <c r="H7" s="9">
        <v>4</v>
      </c>
      <c r="I7" s="8">
        <v>5</v>
      </c>
      <c r="J7" s="9">
        <v>3</v>
      </c>
      <c r="K7" s="8">
        <v>5</v>
      </c>
      <c r="L7" s="8">
        <v>5</v>
      </c>
      <c r="M7" s="10">
        <v>0</v>
      </c>
      <c r="N7" s="8">
        <v>5</v>
      </c>
      <c r="O7" s="8">
        <v>5</v>
      </c>
      <c r="P7" s="8">
        <v>5</v>
      </c>
      <c r="Q7" s="9">
        <v>3</v>
      </c>
      <c r="R7" s="9">
        <v>4</v>
      </c>
      <c r="S7" s="8">
        <v>5</v>
      </c>
      <c r="T7" s="8">
        <v>5</v>
      </c>
      <c r="U7" s="8">
        <v>5</v>
      </c>
      <c r="V7" s="8">
        <v>5</v>
      </c>
      <c r="W7" s="10">
        <v>0</v>
      </c>
      <c r="X7" s="9">
        <v>3</v>
      </c>
      <c r="Y7" s="8">
        <v>5</v>
      </c>
      <c r="Z7" s="8">
        <v>5</v>
      </c>
      <c r="AA7" s="8">
        <v>5</v>
      </c>
      <c r="AB7" s="9">
        <v>4</v>
      </c>
      <c r="AC7" s="8">
        <v>5</v>
      </c>
      <c r="AD7" s="8">
        <v>5</v>
      </c>
      <c r="AE7" s="9">
        <v>3</v>
      </c>
      <c r="AF7" s="8">
        <v>5</v>
      </c>
      <c r="AG7" s="9">
        <v>4</v>
      </c>
      <c r="AH7" s="9">
        <f>SUM(D7:AG7)</f>
      </c>
      <c r="AI7" s="6">
        <f>ROUND((AH7/150)*100, 0)</f>
      </c>
    </row>
    <row r="8" ht="22" customHeight="1" spans="1:35" x14ac:dyDescent="0.25">
      <c r="A8" s="3" t="s">
        <v>100</v>
      </c>
      <c r="B8" s="3" t="s">
        <v>101</v>
      </c>
      <c r="C8" s="3" t="s">
        <v>102</v>
      </c>
      <c r="D8" s="4">
        <v>5</v>
      </c>
      <c r="E8" s="4">
        <v>5</v>
      </c>
      <c r="F8" s="4">
        <v>5</v>
      </c>
      <c r="G8" s="4">
        <v>5</v>
      </c>
      <c r="H8" s="4">
        <v>5</v>
      </c>
      <c r="I8" s="4">
        <v>5</v>
      </c>
      <c r="J8" s="4">
        <v>5</v>
      </c>
      <c r="K8" s="4">
        <v>5</v>
      </c>
      <c r="L8" s="4">
        <v>5</v>
      </c>
      <c r="M8" s="4">
        <v>5</v>
      </c>
      <c r="N8" s="4">
        <v>5</v>
      </c>
      <c r="O8" s="4">
        <v>5</v>
      </c>
      <c r="P8" s="4">
        <v>5</v>
      </c>
      <c r="Q8" s="4">
        <v>5</v>
      </c>
      <c r="R8" s="4">
        <v>5</v>
      </c>
      <c r="S8" s="4">
        <v>5</v>
      </c>
      <c r="T8" s="4">
        <v>5</v>
      </c>
      <c r="U8" s="4">
        <v>5</v>
      </c>
      <c r="V8" s="4">
        <v>5</v>
      </c>
      <c r="W8" s="4">
        <v>5</v>
      </c>
      <c r="X8" s="4">
        <v>5</v>
      </c>
      <c r="Y8" s="4">
        <v>5</v>
      </c>
      <c r="Z8" s="4">
        <v>5</v>
      </c>
      <c r="AA8" s="4">
        <v>5</v>
      </c>
      <c r="AB8" s="4">
        <v>5</v>
      </c>
      <c r="AC8" s="4">
        <v>5</v>
      </c>
      <c r="AD8" s="4">
        <v>5</v>
      </c>
      <c r="AE8" s="4">
        <v>5</v>
      </c>
      <c r="AF8" s="4">
        <v>5</v>
      </c>
      <c r="AG8" s="4">
        <v>5</v>
      </c>
      <c r="AH8" s="5">
        <f>SUM(D8:AG8)</f>
      </c>
      <c r="AI8" s="6">
        <f>ROUND((AH8/150)*100, 0)</f>
      </c>
    </row>
    <row r="9" ht="22" customHeight="1" spans="1:35" x14ac:dyDescent="0.25">
      <c r="A9" s="7" t="s">
        <v>103</v>
      </c>
      <c r="B9" s="7" t="s">
        <v>104</v>
      </c>
      <c r="C9" s="7" t="s">
        <v>105</v>
      </c>
      <c r="D9" s="8">
        <v>5</v>
      </c>
      <c r="E9" s="8">
        <v>5</v>
      </c>
      <c r="F9" s="8">
        <v>5</v>
      </c>
      <c r="G9" s="8">
        <v>5</v>
      </c>
      <c r="H9" s="9">
        <v>4</v>
      </c>
      <c r="I9" s="8">
        <v>5</v>
      </c>
      <c r="J9" s="8">
        <v>5</v>
      </c>
      <c r="K9" s="8">
        <v>5</v>
      </c>
      <c r="L9" s="8">
        <v>5</v>
      </c>
      <c r="M9" s="9">
        <v>4</v>
      </c>
      <c r="N9" s="8">
        <v>5</v>
      </c>
      <c r="O9" s="8">
        <v>5</v>
      </c>
      <c r="P9" s="8">
        <v>5</v>
      </c>
      <c r="Q9" s="8">
        <v>5</v>
      </c>
      <c r="R9" s="9">
        <v>4</v>
      </c>
      <c r="S9" s="8">
        <v>5</v>
      </c>
      <c r="T9" s="8">
        <v>5</v>
      </c>
      <c r="U9" s="8">
        <v>5</v>
      </c>
      <c r="V9" s="8">
        <v>5</v>
      </c>
      <c r="W9" s="9">
        <v>4</v>
      </c>
      <c r="X9" s="8">
        <v>5</v>
      </c>
      <c r="Y9" s="8">
        <v>5</v>
      </c>
      <c r="Z9" s="8">
        <v>5</v>
      </c>
      <c r="AA9" s="8">
        <v>5</v>
      </c>
      <c r="AB9" s="9">
        <v>4</v>
      </c>
      <c r="AC9" s="8">
        <v>5</v>
      </c>
      <c r="AD9" s="8">
        <v>5</v>
      </c>
      <c r="AE9" s="8">
        <v>5</v>
      </c>
      <c r="AF9" s="8">
        <v>5</v>
      </c>
      <c r="AG9" s="9">
        <v>4</v>
      </c>
      <c r="AH9" s="9">
        <f>SUM(D9:AG9)</f>
      </c>
      <c r="AI9" s="6">
        <f>ROUND((AH9/150)*100, 0)</f>
      </c>
    </row>
    <row r="10" ht="22" customHeight="1" spans="1:35" x14ac:dyDescent="0.25">
      <c r="A10" s="3" t="s">
        <v>106</v>
      </c>
      <c r="B10" s="3" t="s">
        <v>107</v>
      </c>
      <c r="C10" s="3" t="s">
        <v>108</v>
      </c>
      <c r="D10" s="4">
        <v>5</v>
      </c>
      <c r="E10" s="4">
        <v>5</v>
      </c>
      <c r="F10" s="4">
        <v>5</v>
      </c>
      <c r="G10" s="4">
        <v>5</v>
      </c>
      <c r="H10" s="4">
        <v>5</v>
      </c>
      <c r="I10" s="4">
        <v>5</v>
      </c>
      <c r="J10" s="4">
        <v>5</v>
      </c>
      <c r="K10" s="4">
        <v>5</v>
      </c>
      <c r="L10" s="4">
        <v>5</v>
      </c>
      <c r="M10" s="10">
        <v>0</v>
      </c>
      <c r="N10" s="4">
        <v>5</v>
      </c>
      <c r="O10" s="4">
        <v>5</v>
      </c>
      <c r="P10" s="4">
        <v>5</v>
      </c>
      <c r="Q10" s="4">
        <v>5</v>
      </c>
      <c r="R10" s="4">
        <v>5</v>
      </c>
      <c r="S10" s="4">
        <v>5</v>
      </c>
      <c r="T10" s="4">
        <v>5</v>
      </c>
      <c r="U10" s="4">
        <v>5</v>
      </c>
      <c r="V10" s="4">
        <v>5</v>
      </c>
      <c r="W10" s="4">
        <v>5</v>
      </c>
      <c r="X10" s="4">
        <v>5</v>
      </c>
      <c r="Y10" s="4">
        <v>5</v>
      </c>
      <c r="Z10" s="4">
        <v>5</v>
      </c>
      <c r="AA10" s="4">
        <v>5</v>
      </c>
      <c r="AB10" s="4">
        <v>5</v>
      </c>
      <c r="AC10" s="4">
        <v>5</v>
      </c>
      <c r="AD10" s="4">
        <v>5</v>
      </c>
      <c r="AE10" s="4">
        <v>5</v>
      </c>
      <c r="AF10" s="4">
        <v>5</v>
      </c>
      <c r="AG10" s="4">
        <v>5</v>
      </c>
      <c r="AH10" s="5">
        <f>SUM(D10:AG10)</f>
      </c>
      <c r="AI10" s="6">
        <f>ROUND((AH10/150)*100, 0)</f>
      </c>
    </row>
    <row r="11" ht="22" customHeight="1" spans="1:35" x14ac:dyDescent="0.25">
      <c r="A11" s="7" t="s">
        <v>109</v>
      </c>
      <c r="B11" s="7" t="s">
        <v>110</v>
      </c>
      <c r="C11" s="7" t="s">
        <v>111</v>
      </c>
      <c r="D11" s="8">
        <v>5</v>
      </c>
      <c r="E11" s="8">
        <v>5</v>
      </c>
      <c r="F11" s="8">
        <v>5</v>
      </c>
      <c r="G11" s="8">
        <v>5</v>
      </c>
      <c r="H11" s="9">
        <v>4</v>
      </c>
      <c r="I11" s="8">
        <v>5</v>
      </c>
      <c r="J11" s="8">
        <v>5</v>
      </c>
      <c r="K11" s="8">
        <v>5</v>
      </c>
      <c r="L11" s="8">
        <v>5</v>
      </c>
      <c r="M11" s="9">
        <v>4</v>
      </c>
      <c r="N11" s="8">
        <v>5</v>
      </c>
      <c r="O11" s="8">
        <v>5</v>
      </c>
      <c r="P11" s="8">
        <v>5</v>
      </c>
      <c r="Q11" s="8">
        <v>5</v>
      </c>
      <c r="R11" s="9">
        <v>4</v>
      </c>
      <c r="S11" s="8">
        <v>5</v>
      </c>
      <c r="T11" s="8">
        <v>5</v>
      </c>
      <c r="U11" s="8">
        <v>5</v>
      </c>
      <c r="V11" s="8">
        <v>5</v>
      </c>
      <c r="W11" s="9">
        <v>4</v>
      </c>
      <c r="X11" s="8">
        <v>5</v>
      </c>
      <c r="Y11" s="8">
        <v>5</v>
      </c>
      <c r="Z11" s="8">
        <v>5</v>
      </c>
      <c r="AA11" s="8">
        <v>5</v>
      </c>
      <c r="AB11" s="9">
        <v>4</v>
      </c>
      <c r="AC11" s="8">
        <v>5</v>
      </c>
      <c r="AD11" s="8">
        <v>5</v>
      </c>
      <c r="AE11" s="8">
        <v>5</v>
      </c>
      <c r="AF11" s="8">
        <v>5</v>
      </c>
      <c r="AG11" s="9">
        <v>4</v>
      </c>
      <c r="AH11" s="9">
        <f>SUM(D11:AG11)</f>
      </c>
      <c r="AI11" s="6">
        <f>ROUND((AH11/150)*100, 0)</f>
      </c>
    </row>
  </sheetData>
  <mergeCells count="1">
    <mergeCell ref="A1:AJ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7"/>
  <sheetViews>
    <sheetView workbookViewId="0" rightToLeft="1"/>
  </sheetViews>
  <sheetFormatPr defaultRowHeight="15" outlineLevelRow="0" outlineLevelCol="0" x14ac:dyDescent="55"/>
  <cols>
    <col min="1" max="1" width="12" customWidth="1"/>
    <col min="2" max="2" width="22" customWidth="1"/>
    <col min="3" max="3" width="24" customWidth="1"/>
    <col min="4" max="33" width="6.5" customWidth="1"/>
    <col min="34" max="34" width="18" customWidth="1"/>
    <col min="35" max="35" width="22" customWidth="1"/>
  </cols>
  <sheetData>
    <row r="1" spans="1:36" x14ac:dyDescent="0.25">
      <c r="A1" s="1" t="s">
        <v>112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3" ht="28" customHeight="1" spans="1:35"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row>
    <row r="4" ht="22" customHeight="1" spans="1:35" x14ac:dyDescent="0.25">
      <c r="A4" s="3" t="s">
        <v>113</v>
      </c>
      <c r="B4" s="3" t="s">
        <v>114</v>
      </c>
      <c r="C4" s="3" t="s">
        <v>115</v>
      </c>
      <c r="D4" s="4">
        <v>5</v>
      </c>
      <c r="E4" s="4">
        <v>5</v>
      </c>
      <c r="F4" s="4">
        <v>5</v>
      </c>
      <c r="G4" s="4">
        <v>5</v>
      </c>
      <c r="H4" s="4">
        <v>5</v>
      </c>
      <c r="I4" s="4">
        <v>5</v>
      </c>
      <c r="J4" s="4">
        <v>5</v>
      </c>
      <c r="K4" s="4">
        <v>5</v>
      </c>
      <c r="L4" s="4">
        <v>5</v>
      </c>
      <c r="M4" s="4">
        <v>5</v>
      </c>
      <c r="N4" s="4">
        <v>5</v>
      </c>
      <c r="O4" s="4">
        <v>5</v>
      </c>
      <c r="P4" s="4">
        <v>5</v>
      </c>
      <c r="Q4" s="4">
        <v>5</v>
      </c>
      <c r="R4" s="4">
        <v>5</v>
      </c>
      <c r="S4" s="4">
        <v>5</v>
      </c>
      <c r="T4" s="4">
        <v>5</v>
      </c>
      <c r="U4" s="4">
        <v>5</v>
      </c>
      <c r="V4" s="4">
        <v>5</v>
      </c>
      <c r="W4" s="4">
        <v>5</v>
      </c>
      <c r="X4" s="4">
        <v>5</v>
      </c>
      <c r="Y4" s="4">
        <v>5</v>
      </c>
      <c r="Z4" s="4">
        <v>5</v>
      </c>
      <c r="AA4" s="4">
        <v>5</v>
      </c>
      <c r="AB4" s="4">
        <v>5</v>
      </c>
      <c r="AC4" s="4">
        <v>5</v>
      </c>
      <c r="AD4" s="4">
        <v>5</v>
      </c>
      <c r="AE4" s="4">
        <v>5</v>
      </c>
      <c r="AF4" s="4">
        <v>5</v>
      </c>
      <c r="AG4" s="4">
        <v>5</v>
      </c>
      <c r="AH4" s="5">
        <f>SUM(D4:AG4)</f>
      </c>
      <c r="AI4" s="6">
        <f>ROUND((AH4/150)*100, 0)</f>
      </c>
    </row>
    <row r="5" ht="22" customHeight="1" spans="1:35" x14ac:dyDescent="0.25">
      <c r="A5" s="7" t="s">
        <v>116</v>
      </c>
      <c r="B5" s="7" t="s">
        <v>117</v>
      </c>
      <c r="C5" s="7" t="s">
        <v>118</v>
      </c>
      <c r="D5" s="8">
        <v>5</v>
      </c>
      <c r="E5" s="8">
        <v>5</v>
      </c>
      <c r="F5" s="8">
        <v>5</v>
      </c>
      <c r="G5" s="8">
        <v>5</v>
      </c>
      <c r="H5" s="9">
        <v>4</v>
      </c>
      <c r="I5" s="8">
        <v>5</v>
      </c>
      <c r="J5" s="8">
        <v>5</v>
      </c>
      <c r="K5" s="8">
        <v>5</v>
      </c>
      <c r="L5" s="8">
        <v>5</v>
      </c>
      <c r="M5" s="9">
        <v>4</v>
      </c>
      <c r="N5" s="8">
        <v>5</v>
      </c>
      <c r="O5" s="8">
        <v>5</v>
      </c>
      <c r="P5" s="8">
        <v>5</v>
      </c>
      <c r="Q5" s="8">
        <v>5</v>
      </c>
      <c r="R5" s="9">
        <v>4</v>
      </c>
      <c r="S5" s="8">
        <v>5</v>
      </c>
      <c r="T5" s="8">
        <v>5</v>
      </c>
      <c r="U5" s="8">
        <v>5</v>
      </c>
      <c r="V5" s="8">
        <v>5</v>
      </c>
      <c r="W5" s="9">
        <v>4</v>
      </c>
      <c r="X5" s="8">
        <v>5</v>
      </c>
      <c r="Y5" s="8">
        <v>5</v>
      </c>
      <c r="Z5" s="8">
        <v>5</v>
      </c>
      <c r="AA5" s="8">
        <v>5</v>
      </c>
      <c r="AB5" s="9">
        <v>4</v>
      </c>
      <c r="AC5" s="8">
        <v>5</v>
      </c>
      <c r="AD5" s="8">
        <v>5</v>
      </c>
      <c r="AE5" s="8">
        <v>5</v>
      </c>
      <c r="AF5" s="8">
        <v>5</v>
      </c>
      <c r="AG5" s="9">
        <v>4</v>
      </c>
      <c r="AH5" s="9">
        <f>SUM(D5:AG5)</f>
      </c>
      <c r="AI5" s="6">
        <f>ROUND((AH5/150)*100, 0)</f>
      </c>
    </row>
    <row r="6" ht="22" customHeight="1" spans="1:35" x14ac:dyDescent="0.25">
      <c r="A6" s="3" t="s">
        <v>119</v>
      </c>
      <c r="B6" s="3" t="s">
        <v>120</v>
      </c>
      <c r="C6" s="3" t="s">
        <v>121</v>
      </c>
      <c r="D6" s="4">
        <v>5</v>
      </c>
      <c r="E6" s="4">
        <v>5</v>
      </c>
      <c r="F6" s="4">
        <v>5</v>
      </c>
      <c r="G6" s="4">
        <v>5</v>
      </c>
      <c r="H6" s="4">
        <v>5</v>
      </c>
      <c r="I6" s="4">
        <v>5</v>
      </c>
      <c r="J6" s="4">
        <v>5</v>
      </c>
      <c r="K6" s="4">
        <v>5</v>
      </c>
      <c r="L6" s="4">
        <v>5</v>
      </c>
      <c r="M6" s="10">
        <v>0</v>
      </c>
      <c r="N6" s="4">
        <v>5</v>
      </c>
      <c r="O6" s="4">
        <v>5</v>
      </c>
      <c r="P6" s="4">
        <v>5</v>
      </c>
      <c r="Q6" s="4">
        <v>5</v>
      </c>
      <c r="R6" s="4">
        <v>5</v>
      </c>
      <c r="S6" s="4">
        <v>5</v>
      </c>
      <c r="T6" s="4">
        <v>5</v>
      </c>
      <c r="U6" s="4">
        <v>5</v>
      </c>
      <c r="V6" s="4">
        <v>5</v>
      </c>
      <c r="W6" s="4">
        <v>5</v>
      </c>
      <c r="X6" s="4">
        <v>5</v>
      </c>
      <c r="Y6" s="4">
        <v>5</v>
      </c>
      <c r="Z6" s="4">
        <v>5</v>
      </c>
      <c r="AA6" s="4">
        <v>5</v>
      </c>
      <c r="AB6" s="4">
        <v>5</v>
      </c>
      <c r="AC6" s="4">
        <v>5</v>
      </c>
      <c r="AD6" s="4">
        <v>5</v>
      </c>
      <c r="AE6" s="4">
        <v>5</v>
      </c>
      <c r="AF6" s="4">
        <v>5</v>
      </c>
      <c r="AG6" s="4">
        <v>5</v>
      </c>
      <c r="AH6" s="5">
        <f>SUM(D6:AG6)</f>
      </c>
      <c r="AI6" s="6">
        <f>ROUND((AH6/150)*100, 0)</f>
      </c>
    </row>
    <row r="7" ht="22" customHeight="1" spans="1:35" x14ac:dyDescent="0.25">
      <c r="A7" s="7" t="s">
        <v>122</v>
      </c>
      <c r="B7" s="7" t="s">
        <v>123</v>
      </c>
      <c r="C7" s="7" t="s">
        <v>124</v>
      </c>
      <c r="D7" s="8">
        <v>5</v>
      </c>
      <c r="E7" s="8">
        <v>5</v>
      </c>
      <c r="F7" s="8">
        <v>5</v>
      </c>
      <c r="G7" s="8">
        <v>5</v>
      </c>
      <c r="H7" s="9">
        <v>4</v>
      </c>
      <c r="I7" s="8">
        <v>5</v>
      </c>
      <c r="J7" s="8">
        <v>5</v>
      </c>
      <c r="K7" s="8">
        <v>5</v>
      </c>
      <c r="L7" s="8">
        <v>5</v>
      </c>
      <c r="M7" s="9">
        <v>4</v>
      </c>
      <c r="N7" s="8">
        <v>5</v>
      </c>
      <c r="O7" s="8">
        <v>5</v>
      </c>
      <c r="P7" s="8">
        <v>5</v>
      </c>
      <c r="Q7" s="8">
        <v>5</v>
      </c>
      <c r="R7" s="9">
        <v>4</v>
      </c>
      <c r="S7" s="8">
        <v>5</v>
      </c>
      <c r="T7" s="8">
        <v>5</v>
      </c>
      <c r="U7" s="8">
        <v>5</v>
      </c>
      <c r="V7" s="8">
        <v>5</v>
      </c>
      <c r="W7" s="9">
        <v>4</v>
      </c>
      <c r="X7" s="8">
        <v>5</v>
      </c>
      <c r="Y7" s="8">
        <v>5</v>
      </c>
      <c r="Z7" s="8">
        <v>5</v>
      </c>
      <c r="AA7" s="8">
        <v>5</v>
      </c>
      <c r="AB7" s="9">
        <v>4</v>
      </c>
      <c r="AC7" s="8">
        <v>5</v>
      </c>
      <c r="AD7" s="8">
        <v>5</v>
      </c>
      <c r="AE7" s="8">
        <v>5</v>
      </c>
      <c r="AF7" s="8">
        <v>5</v>
      </c>
      <c r="AG7" s="9">
        <v>4</v>
      </c>
      <c r="AH7" s="9">
        <f>SUM(D7:AG7)</f>
      </c>
      <c r="AI7" s="6">
        <f>ROUND((AH7/150)*100, 0)</f>
      </c>
    </row>
  </sheetData>
  <mergeCells count="1">
    <mergeCell ref="A1:AJ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9"/>
  <sheetViews>
    <sheetView workbookViewId="0" rightToLeft="1"/>
  </sheetViews>
  <sheetFormatPr defaultRowHeight="15" outlineLevelRow="0" outlineLevelCol="0" x14ac:dyDescent="55"/>
  <cols>
    <col min="1" max="1" width="12" customWidth="1"/>
    <col min="2" max="3" width="22" customWidth="1"/>
    <col min="4" max="8" width="14" customWidth="1"/>
    <col min="9" max="9" width="15" customWidth="1"/>
    <col min="10" max="10" width="20" customWidth="1"/>
  </cols>
  <sheetData>
    <row r="1" spans="1:10" x14ac:dyDescent="0.25">
      <c r="A1" s="1" t="s">
        <v>125</v>
      </c>
      <c r="B1" s="1"/>
      <c r="C1" s="1"/>
      <c r="D1" s="1"/>
      <c r="E1" s="1"/>
      <c r="F1" s="1"/>
      <c r="G1" s="1"/>
      <c r="H1" s="1"/>
      <c r="I1" s="1"/>
      <c r="J1" s="1"/>
    </row>
    <row r="2" ht="25" customHeight="1" spans="1:10" x14ac:dyDescent="0.25">
      <c r="A2" s="11" t="s">
        <v>126</v>
      </c>
      <c r="B2" s="11"/>
      <c r="C2" s="11"/>
      <c r="D2" s="11" t="s">
        <v>127</v>
      </c>
      <c r="E2" s="11"/>
      <c r="F2" s="11"/>
      <c r="G2" s="11"/>
      <c r="H2" s="11" t="s">
        <v>128</v>
      </c>
      <c r="I2" s="11"/>
      <c r="J2" s="11"/>
    </row>
    <row r="4" ht="28" customHeight="1" spans="1:10" x14ac:dyDescent="0.25">
      <c r="A4" s="12" t="s">
        <v>1</v>
      </c>
      <c r="B4" s="12" t="s">
        <v>2</v>
      </c>
      <c r="C4" s="12" t="s">
        <v>129</v>
      </c>
      <c r="D4" s="12" t="s">
        <v>130</v>
      </c>
      <c r="E4" s="12" t="s">
        <v>131</v>
      </c>
      <c r="F4" s="12" t="s">
        <v>132</v>
      </c>
      <c r="G4" s="12" t="s">
        <v>133</v>
      </c>
      <c r="H4" s="12" t="s">
        <v>134</v>
      </c>
      <c r="I4" s="12" t="s">
        <v>135</v>
      </c>
      <c r="J4" s="12" t="s">
        <v>136</v>
      </c>
    </row>
    <row r="6" ht="22" customHeight="1" spans="1:10" x14ac:dyDescent="0.25">
      <c r="A6" s="13" t="s">
        <v>137</v>
      </c>
      <c r="B6" s="13"/>
      <c r="C6" s="13"/>
      <c r="D6" s="13"/>
      <c r="E6" s="13"/>
      <c r="F6" s="13"/>
      <c r="G6" s="13"/>
      <c r="H6" s="13"/>
      <c r="I6" s="13"/>
      <c r="J6" s="13"/>
    </row>
    <row r="7" ht="20" customHeight="1" spans="1:10" x14ac:dyDescent="0.25">
      <c r="A7" s="14" t="s">
        <v>36</v>
      </c>
      <c r="B7" s="14" t="s">
        <v>37</v>
      </c>
      <c r="C7" s="14" t="s">
        <v>38</v>
      </c>
      <c r="D7" s="15" t="s">
        <v>138</v>
      </c>
      <c r="E7" s="15" t="s">
        <v>138</v>
      </c>
      <c r="F7" s="15" t="s">
        <v>138</v>
      </c>
      <c r="G7" s="15" t="s">
        <v>138</v>
      </c>
      <c r="H7" s="15" t="s">
        <v>138</v>
      </c>
      <c r="I7" s="16">
        <f>SUM(D7:H7)</f>
      </c>
      <c r="J7" s="17" t="s">
        <v>138</v>
      </c>
    </row>
    <row r="8" ht="20" customHeight="1" spans="1:10" x14ac:dyDescent="0.25">
      <c r="A8" s="14" t="s">
        <v>39</v>
      </c>
      <c r="B8" s="14" t="s">
        <v>40</v>
      </c>
      <c r="C8" s="14" t="s">
        <v>41</v>
      </c>
      <c r="D8" s="15" t="s">
        <v>138</v>
      </c>
      <c r="E8" s="15" t="s">
        <v>138</v>
      </c>
      <c r="F8" s="15" t="s">
        <v>138</v>
      </c>
      <c r="G8" s="15" t="s">
        <v>138</v>
      </c>
      <c r="H8" s="15" t="s">
        <v>138</v>
      </c>
      <c r="I8" s="16">
        <f>SUM(D8:H8)</f>
      </c>
      <c r="J8" s="17" t="s">
        <v>138</v>
      </c>
    </row>
    <row r="9" ht="20" customHeight="1" spans="1:10" x14ac:dyDescent="0.25">
      <c r="A9" s="14" t="s">
        <v>42</v>
      </c>
      <c r="B9" s="14" t="s">
        <v>43</v>
      </c>
      <c r="C9" s="14" t="s">
        <v>44</v>
      </c>
      <c r="D9" s="15" t="s">
        <v>138</v>
      </c>
      <c r="E9" s="15" t="s">
        <v>138</v>
      </c>
      <c r="F9" s="15" t="s">
        <v>138</v>
      </c>
      <c r="G9" s="15" t="s">
        <v>138</v>
      </c>
      <c r="H9" s="15" t="s">
        <v>138</v>
      </c>
      <c r="I9" s="16">
        <f>SUM(D9:H9)</f>
      </c>
      <c r="J9" s="17" t="s">
        <v>138</v>
      </c>
    </row>
    <row r="10" ht="20" customHeight="1" spans="1:10" x14ac:dyDescent="0.25">
      <c r="A10" s="14" t="s">
        <v>45</v>
      </c>
      <c r="B10" s="14" t="s">
        <v>46</v>
      </c>
      <c r="C10" s="14" t="s">
        <v>47</v>
      </c>
      <c r="D10" s="15" t="s">
        <v>138</v>
      </c>
      <c r="E10" s="15" t="s">
        <v>138</v>
      </c>
      <c r="F10" s="15" t="s">
        <v>138</v>
      </c>
      <c r="G10" s="15" t="s">
        <v>138</v>
      </c>
      <c r="H10" s="15" t="s">
        <v>138</v>
      </c>
      <c r="I10" s="16">
        <f>SUM(D10:H10)</f>
      </c>
      <c r="J10" s="17" t="s">
        <v>138</v>
      </c>
    </row>
    <row r="11" ht="20" customHeight="1" spans="1:10" x14ac:dyDescent="0.25">
      <c r="A11" s="14" t="s">
        <v>48</v>
      </c>
      <c r="B11" s="14" t="s">
        <v>49</v>
      </c>
      <c r="C11" s="14" t="s">
        <v>50</v>
      </c>
      <c r="D11" s="15" t="s">
        <v>138</v>
      </c>
      <c r="E11" s="15" t="s">
        <v>138</v>
      </c>
      <c r="F11" s="15" t="s">
        <v>138</v>
      </c>
      <c r="G11" s="15" t="s">
        <v>138</v>
      </c>
      <c r="H11" s="15" t="s">
        <v>138</v>
      </c>
      <c r="I11" s="16">
        <f>SUM(D11:H11)</f>
      </c>
      <c r="J11" s="17" t="s">
        <v>138</v>
      </c>
    </row>
    <row r="12" ht="20" customHeight="1" spans="1:10" x14ac:dyDescent="0.25">
      <c r="A12" s="14" t="s">
        <v>51</v>
      </c>
      <c r="B12" s="14" t="s">
        <v>52</v>
      </c>
      <c r="C12" s="14" t="s">
        <v>53</v>
      </c>
      <c r="D12" s="15" t="s">
        <v>138</v>
      </c>
      <c r="E12" s="15" t="s">
        <v>138</v>
      </c>
      <c r="F12" s="15" t="s">
        <v>138</v>
      </c>
      <c r="G12" s="15" t="s">
        <v>138</v>
      </c>
      <c r="H12" s="15" t="s">
        <v>138</v>
      </c>
      <c r="I12" s="16">
        <f>SUM(D12:H12)</f>
      </c>
      <c r="J12" s="17" t="s">
        <v>138</v>
      </c>
    </row>
    <row r="13" ht="22" customHeight="1" spans="1:10" x14ac:dyDescent="0.25">
      <c r="A13" s="13" t="s">
        <v>139</v>
      </c>
      <c r="B13" s="13"/>
      <c r="C13" s="13"/>
      <c r="D13" s="13"/>
      <c r="E13" s="13"/>
      <c r="F13" s="13"/>
      <c r="G13" s="13"/>
      <c r="H13" s="13"/>
      <c r="I13" s="13"/>
      <c r="J13" s="13"/>
    </row>
    <row r="14" ht="20" customHeight="1" spans="1:10" x14ac:dyDescent="0.25">
      <c r="A14" s="14" t="s">
        <v>55</v>
      </c>
      <c r="B14" s="14" t="s">
        <v>56</v>
      </c>
      <c r="C14" s="14" t="s">
        <v>57</v>
      </c>
      <c r="D14" s="15" t="s">
        <v>138</v>
      </c>
      <c r="E14" s="15" t="s">
        <v>138</v>
      </c>
      <c r="F14" s="15" t="s">
        <v>138</v>
      </c>
      <c r="G14" s="15" t="s">
        <v>138</v>
      </c>
      <c r="H14" s="15" t="s">
        <v>138</v>
      </c>
      <c r="I14" s="16">
        <f>SUM(D14:H14)</f>
      </c>
      <c r="J14" s="17" t="s">
        <v>138</v>
      </c>
    </row>
    <row r="15" ht="20" customHeight="1" spans="1:10" x14ac:dyDescent="0.25">
      <c r="A15" s="14" t="s">
        <v>58</v>
      </c>
      <c r="B15" s="14" t="s">
        <v>59</v>
      </c>
      <c r="C15" s="14" t="s">
        <v>60</v>
      </c>
      <c r="D15" s="15" t="s">
        <v>138</v>
      </c>
      <c r="E15" s="15" t="s">
        <v>138</v>
      </c>
      <c r="F15" s="15" t="s">
        <v>138</v>
      </c>
      <c r="G15" s="15" t="s">
        <v>138</v>
      </c>
      <c r="H15" s="15" t="s">
        <v>138</v>
      </c>
      <c r="I15" s="16">
        <f>SUM(D15:H15)</f>
      </c>
      <c r="J15" s="17" t="s">
        <v>138</v>
      </c>
    </row>
    <row r="16" ht="20" customHeight="1" spans="1:10" x14ac:dyDescent="0.25">
      <c r="A16" s="14" t="s">
        <v>61</v>
      </c>
      <c r="B16" s="14" t="s">
        <v>62</v>
      </c>
      <c r="C16" s="14" t="s">
        <v>63</v>
      </c>
      <c r="D16" s="15" t="s">
        <v>138</v>
      </c>
      <c r="E16" s="15" t="s">
        <v>138</v>
      </c>
      <c r="F16" s="15" t="s">
        <v>138</v>
      </c>
      <c r="G16" s="15" t="s">
        <v>138</v>
      </c>
      <c r="H16" s="15" t="s">
        <v>138</v>
      </c>
      <c r="I16" s="16">
        <f>SUM(D16:H16)</f>
      </c>
      <c r="J16" s="17" t="s">
        <v>138</v>
      </c>
    </row>
    <row r="17" ht="20" customHeight="1" spans="1:10" x14ac:dyDescent="0.25">
      <c r="A17" s="14" t="s">
        <v>64</v>
      </c>
      <c r="B17" s="14" t="s">
        <v>65</v>
      </c>
      <c r="C17" s="14" t="s">
        <v>63</v>
      </c>
      <c r="D17" s="15" t="s">
        <v>138</v>
      </c>
      <c r="E17" s="15" t="s">
        <v>138</v>
      </c>
      <c r="F17" s="15" t="s">
        <v>138</v>
      </c>
      <c r="G17" s="15" t="s">
        <v>138</v>
      </c>
      <c r="H17" s="15" t="s">
        <v>138</v>
      </c>
      <c r="I17" s="16">
        <f>SUM(D17:H17)</f>
      </c>
      <c r="J17" s="17" t="s">
        <v>138</v>
      </c>
    </row>
    <row r="18" ht="20" customHeight="1" spans="1:10" x14ac:dyDescent="0.25">
      <c r="A18" s="14" t="s">
        <v>66</v>
      </c>
      <c r="B18" s="14" t="s">
        <v>67</v>
      </c>
      <c r="C18" s="14" t="s">
        <v>63</v>
      </c>
      <c r="D18" s="15" t="s">
        <v>138</v>
      </c>
      <c r="E18" s="15" t="s">
        <v>138</v>
      </c>
      <c r="F18" s="15" t="s">
        <v>138</v>
      </c>
      <c r="G18" s="15" t="s">
        <v>138</v>
      </c>
      <c r="H18" s="15" t="s">
        <v>138</v>
      </c>
      <c r="I18" s="16">
        <f>SUM(D18:H18)</f>
      </c>
      <c r="J18" s="17" t="s">
        <v>138</v>
      </c>
    </row>
    <row r="19" ht="20" customHeight="1" spans="1:10" x14ac:dyDescent="0.25">
      <c r="A19" s="14" t="s">
        <v>68</v>
      </c>
      <c r="B19" s="14" t="s">
        <v>69</v>
      </c>
      <c r="C19" s="14" t="s">
        <v>63</v>
      </c>
      <c r="D19" s="15" t="s">
        <v>138</v>
      </c>
      <c r="E19" s="15" t="s">
        <v>138</v>
      </c>
      <c r="F19" s="15" t="s">
        <v>138</v>
      </c>
      <c r="G19" s="15" t="s">
        <v>138</v>
      </c>
      <c r="H19" s="15" t="s">
        <v>138</v>
      </c>
      <c r="I19" s="16">
        <f>SUM(D19:H19)</f>
      </c>
      <c r="J19" s="17" t="s">
        <v>138</v>
      </c>
    </row>
    <row r="20" ht="20" customHeight="1" spans="1:10" x14ac:dyDescent="0.25">
      <c r="A20" s="14" t="s">
        <v>70</v>
      </c>
      <c r="B20" s="14" t="s">
        <v>71</v>
      </c>
      <c r="C20" s="14" t="s">
        <v>72</v>
      </c>
      <c r="D20" s="15" t="s">
        <v>138</v>
      </c>
      <c r="E20" s="15" t="s">
        <v>138</v>
      </c>
      <c r="F20" s="15" t="s">
        <v>138</v>
      </c>
      <c r="G20" s="15" t="s">
        <v>138</v>
      </c>
      <c r="H20" s="15" t="s">
        <v>138</v>
      </c>
      <c r="I20" s="16">
        <f>SUM(D20:H20)</f>
      </c>
      <c r="J20" s="17" t="s">
        <v>138</v>
      </c>
    </row>
    <row r="21" ht="20" customHeight="1" spans="1:10" x14ac:dyDescent="0.25">
      <c r="A21" s="14" t="s">
        <v>73</v>
      </c>
      <c r="B21" s="14" t="s">
        <v>74</v>
      </c>
      <c r="C21" s="14" t="s">
        <v>75</v>
      </c>
      <c r="D21" s="15" t="s">
        <v>138</v>
      </c>
      <c r="E21" s="15" t="s">
        <v>138</v>
      </c>
      <c r="F21" s="15" t="s">
        <v>138</v>
      </c>
      <c r="G21" s="15" t="s">
        <v>138</v>
      </c>
      <c r="H21" s="15" t="s">
        <v>138</v>
      </c>
      <c r="I21" s="16">
        <f>SUM(D21:H21)</f>
      </c>
      <c r="J21" s="17" t="s">
        <v>138</v>
      </c>
    </row>
    <row r="22" ht="20" customHeight="1" spans="1:10" x14ac:dyDescent="0.25">
      <c r="A22" s="14" t="s">
        <v>76</v>
      </c>
      <c r="B22" s="14" t="s">
        <v>77</v>
      </c>
      <c r="C22" s="14" t="s">
        <v>75</v>
      </c>
      <c r="D22" s="15" t="s">
        <v>138</v>
      </c>
      <c r="E22" s="15" t="s">
        <v>138</v>
      </c>
      <c r="F22" s="15" t="s">
        <v>138</v>
      </c>
      <c r="G22" s="15" t="s">
        <v>138</v>
      </c>
      <c r="H22" s="15" t="s">
        <v>138</v>
      </c>
      <c r="I22" s="16">
        <f>SUM(D22:H22)</f>
      </c>
      <c r="J22" s="17" t="s">
        <v>138</v>
      </c>
    </row>
    <row r="23" ht="20" customHeight="1" spans="1:10" x14ac:dyDescent="0.25">
      <c r="A23" s="14" t="s">
        <v>78</v>
      </c>
      <c r="B23" s="14" t="s">
        <v>79</v>
      </c>
      <c r="C23" s="14" t="s">
        <v>80</v>
      </c>
      <c r="D23" s="15" t="s">
        <v>138</v>
      </c>
      <c r="E23" s="15" t="s">
        <v>138</v>
      </c>
      <c r="F23" s="15" t="s">
        <v>138</v>
      </c>
      <c r="G23" s="15" t="s">
        <v>138</v>
      </c>
      <c r="H23" s="15" t="s">
        <v>138</v>
      </c>
      <c r="I23" s="16">
        <f>SUM(D23:H23)</f>
      </c>
      <c r="J23" s="17" t="s">
        <v>138</v>
      </c>
    </row>
    <row r="24" ht="20" customHeight="1" spans="1:10" x14ac:dyDescent="0.25">
      <c r="A24" s="14" t="s">
        <v>81</v>
      </c>
      <c r="B24" s="14" t="s">
        <v>82</v>
      </c>
      <c r="C24" s="14" t="s">
        <v>83</v>
      </c>
      <c r="D24" s="15" t="s">
        <v>138</v>
      </c>
      <c r="E24" s="15" t="s">
        <v>138</v>
      </c>
      <c r="F24" s="15" t="s">
        <v>138</v>
      </c>
      <c r="G24" s="15" t="s">
        <v>138</v>
      </c>
      <c r="H24" s="15" t="s">
        <v>138</v>
      </c>
      <c r="I24" s="16">
        <f>SUM(D24:H24)</f>
      </c>
      <c r="J24" s="17" t="s">
        <v>138</v>
      </c>
    </row>
    <row r="25" ht="20" customHeight="1" spans="1:10" x14ac:dyDescent="0.25">
      <c r="A25" s="14" t="s">
        <v>84</v>
      </c>
      <c r="B25" s="14" t="s">
        <v>85</v>
      </c>
      <c r="C25" s="14" t="s">
        <v>86</v>
      </c>
      <c r="D25" s="15" t="s">
        <v>138</v>
      </c>
      <c r="E25" s="15" t="s">
        <v>138</v>
      </c>
      <c r="F25" s="15" t="s">
        <v>138</v>
      </c>
      <c r="G25" s="15" t="s">
        <v>138</v>
      </c>
      <c r="H25" s="15" t="s">
        <v>138</v>
      </c>
      <c r="I25" s="16">
        <f>SUM(D25:H25)</f>
      </c>
      <c r="J25" s="17" t="s">
        <v>138</v>
      </c>
    </row>
    <row r="26" ht="22" customHeight="1" spans="1:10" x14ac:dyDescent="0.25">
      <c r="A26" s="13" t="s">
        <v>140</v>
      </c>
      <c r="B26" s="13"/>
      <c r="C26" s="13"/>
      <c r="D26" s="13"/>
      <c r="E26" s="13"/>
      <c r="F26" s="13"/>
      <c r="G26" s="13"/>
      <c r="H26" s="13"/>
      <c r="I26" s="13"/>
      <c r="J26" s="13"/>
    </row>
    <row r="27" ht="20" customHeight="1" spans="1:10" x14ac:dyDescent="0.25">
      <c r="A27" s="14" t="s">
        <v>88</v>
      </c>
      <c r="B27" s="14" t="s">
        <v>89</v>
      </c>
      <c r="C27" s="14" t="s">
        <v>90</v>
      </c>
      <c r="D27" s="15" t="s">
        <v>138</v>
      </c>
      <c r="E27" s="15" t="s">
        <v>138</v>
      </c>
      <c r="F27" s="15" t="s">
        <v>138</v>
      </c>
      <c r="G27" s="15" t="s">
        <v>138</v>
      </c>
      <c r="H27" s="15" t="s">
        <v>138</v>
      </c>
      <c r="I27" s="16">
        <f>SUM(D27:H27)</f>
      </c>
      <c r="J27" s="17" t="s">
        <v>138</v>
      </c>
    </row>
    <row r="28" ht="20" customHeight="1" spans="1:10" x14ac:dyDescent="0.25">
      <c r="A28" s="14" t="s">
        <v>91</v>
      </c>
      <c r="B28" s="14" t="s">
        <v>92</v>
      </c>
      <c r="C28" s="14" t="s">
        <v>93</v>
      </c>
      <c r="D28" s="15" t="s">
        <v>138</v>
      </c>
      <c r="E28" s="15" t="s">
        <v>138</v>
      </c>
      <c r="F28" s="15" t="s">
        <v>138</v>
      </c>
      <c r="G28" s="15" t="s">
        <v>138</v>
      </c>
      <c r="H28" s="15" t="s">
        <v>138</v>
      </c>
      <c r="I28" s="16">
        <f>SUM(D28:H28)</f>
      </c>
      <c r="J28" s="17" t="s">
        <v>138</v>
      </c>
    </row>
    <row r="29" ht="20" customHeight="1" spans="1:10" x14ac:dyDescent="0.25">
      <c r="A29" s="14" t="s">
        <v>94</v>
      </c>
      <c r="B29" s="14" t="s">
        <v>95</v>
      </c>
      <c r="C29" s="14" t="s">
        <v>96</v>
      </c>
      <c r="D29" s="15" t="s">
        <v>138</v>
      </c>
      <c r="E29" s="15" t="s">
        <v>138</v>
      </c>
      <c r="F29" s="15" t="s">
        <v>138</v>
      </c>
      <c r="G29" s="15" t="s">
        <v>138</v>
      </c>
      <c r="H29" s="15" t="s">
        <v>138</v>
      </c>
      <c r="I29" s="16">
        <f>SUM(D29:H29)</f>
      </c>
      <c r="J29" s="17" t="s">
        <v>138</v>
      </c>
    </row>
    <row r="30" ht="20" customHeight="1" spans="1:10" x14ac:dyDescent="0.25">
      <c r="A30" s="14" t="s">
        <v>97</v>
      </c>
      <c r="B30" s="14" t="s">
        <v>98</v>
      </c>
      <c r="C30" s="14" t="s">
        <v>99</v>
      </c>
      <c r="D30" s="15" t="s">
        <v>138</v>
      </c>
      <c r="E30" s="15" t="s">
        <v>138</v>
      </c>
      <c r="F30" s="15" t="s">
        <v>138</v>
      </c>
      <c r="G30" s="15" t="s">
        <v>138</v>
      </c>
      <c r="H30" s="15" t="s">
        <v>138</v>
      </c>
      <c r="I30" s="16">
        <f>SUM(D30:H30)</f>
      </c>
      <c r="J30" s="17" t="s">
        <v>138</v>
      </c>
    </row>
    <row r="31" ht="20" customHeight="1" spans="1:10" x14ac:dyDescent="0.25">
      <c r="A31" s="14" t="s">
        <v>100</v>
      </c>
      <c r="B31" s="14" t="s">
        <v>101</v>
      </c>
      <c r="C31" s="14" t="s">
        <v>102</v>
      </c>
      <c r="D31" s="15" t="s">
        <v>138</v>
      </c>
      <c r="E31" s="15" t="s">
        <v>138</v>
      </c>
      <c r="F31" s="15" t="s">
        <v>138</v>
      </c>
      <c r="G31" s="15" t="s">
        <v>138</v>
      </c>
      <c r="H31" s="15" t="s">
        <v>138</v>
      </c>
      <c r="I31" s="16">
        <f>SUM(D31:H31)</f>
      </c>
      <c r="J31" s="17" t="s">
        <v>138</v>
      </c>
    </row>
    <row r="32" ht="20" customHeight="1" spans="1:10" x14ac:dyDescent="0.25">
      <c r="A32" s="14" t="s">
        <v>103</v>
      </c>
      <c r="B32" s="14" t="s">
        <v>104</v>
      </c>
      <c r="C32" s="14" t="s">
        <v>105</v>
      </c>
      <c r="D32" s="15" t="s">
        <v>138</v>
      </c>
      <c r="E32" s="15" t="s">
        <v>138</v>
      </c>
      <c r="F32" s="15" t="s">
        <v>138</v>
      </c>
      <c r="G32" s="15" t="s">
        <v>138</v>
      </c>
      <c r="H32" s="15" t="s">
        <v>138</v>
      </c>
      <c r="I32" s="16">
        <f>SUM(D32:H32)</f>
      </c>
      <c r="J32" s="17" t="s">
        <v>138</v>
      </c>
    </row>
    <row r="33" ht="20" customHeight="1" spans="1:10" x14ac:dyDescent="0.25">
      <c r="A33" s="14" t="s">
        <v>106</v>
      </c>
      <c r="B33" s="14" t="s">
        <v>107</v>
      </c>
      <c r="C33" s="14" t="s">
        <v>108</v>
      </c>
      <c r="D33" s="15" t="s">
        <v>138</v>
      </c>
      <c r="E33" s="15" t="s">
        <v>138</v>
      </c>
      <c r="F33" s="15" t="s">
        <v>138</v>
      </c>
      <c r="G33" s="15" t="s">
        <v>138</v>
      </c>
      <c r="H33" s="15" t="s">
        <v>138</v>
      </c>
      <c r="I33" s="16">
        <f>SUM(D33:H33)</f>
      </c>
      <c r="J33" s="17" t="s">
        <v>138</v>
      </c>
    </row>
    <row r="34" ht="20" customHeight="1" spans="1:10" x14ac:dyDescent="0.25">
      <c r="A34" s="14" t="s">
        <v>109</v>
      </c>
      <c r="B34" s="14" t="s">
        <v>110</v>
      </c>
      <c r="C34" s="14" t="s">
        <v>111</v>
      </c>
      <c r="D34" s="15" t="s">
        <v>138</v>
      </c>
      <c r="E34" s="15" t="s">
        <v>138</v>
      </c>
      <c r="F34" s="15" t="s">
        <v>138</v>
      </c>
      <c r="G34" s="15" t="s">
        <v>138</v>
      </c>
      <c r="H34" s="15" t="s">
        <v>138</v>
      </c>
      <c r="I34" s="16">
        <f>SUM(D34:H34)</f>
      </c>
      <c r="J34" s="17" t="s">
        <v>138</v>
      </c>
    </row>
    <row r="35" ht="22" customHeight="1" spans="1:10" x14ac:dyDescent="0.25">
      <c r="A35" s="13" t="s">
        <v>141</v>
      </c>
      <c r="B35" s="13"/>
      <c r="C35" s="13"/>
      <c r="D35" s="13"/>
      <c r="E35" s="13"/>
      <c r="F35" s="13"/>
      <c r="G35" s="13"/>
      <c r="H35" s="13"/>
      <c r="I35" s="13"/>
      <c r="J35" s="13"/>
    </row>
    <row r="36" ht="20" customHeight="1" spans="1:10" x14ac:dyDescent="0.25">
      <c r="A36" s="14" t="s">
        <v>113</v>
      </c>
      <c r="B36" s="14" t="s">
        <v>114</v>
      </c>
      <c r="C36" s="14" t="s">
        <v>115</v>
      </c>
      <c r="D36" s="15" t="s">
        <v>138</v>
      </c>
      <c r="E36" s="15" t="s">
        <v>138</v>
      </c>
      <c r="F36" s="15" t="s">
        <v>138</v>
      </c>
      <c r="G36" s="15" t="s">
        <v>138</v>
      </c>
      <c r="H36" s="15" t="s">
        <v>138</v>
      </c>
      <c r="I36" s="16">
        <f>SUM(D36:H36)</f>
      </c>
      <c r="J36" s="17" t="s">
        <v>138</v>
      </c>
    </row>
    <row r="37" ht="20" customHeight="1" spans="1:10" x14ac:dyDescent="0.25">
      <c r="A37" s="14" t="s">
        <v>116</v>
      </c>
      <c r="B37" s="14" t="s">
        <v>117</v>
      </c>
      <c r="C37" s="14" t="s">
        <v>118</v>
      </c>
      <c r="D37" s="15" t="s">
        <v>138</v>
      </c>
      <c r="E37" s="15" t="s">
        <v>138</v>
      </c>
      <c r="F37" s="15" t="s">
        <v>138</v>
      </c>
      <c r="G37" s="15" t="s">
        <v>138</v>
      </c>
      <c r="H37" s="15" t="s">
        <v>138</v>
      </c>
      <c r="I37" s="16">
        <f>SUM(D37:H37)</f>
      </c>
      <c r="J37" s="17" t="s">
        <v>138</v>
      </c>
    </row>
    <row r="38" ht="20" customHeight="1" spans="1:10" x14ac:dyDescent="0.25">
      <c r="A38" s="14" t="s">
        <v>119</v>
      </c>
      <c r="B38" s="14" t="s">
        <v>120</v>
      </c>
      <c r="C38" s="14" t="s">
        <v>121</v>
      </c>
      <c r="D38" s="15" t="s">
        <v>138</v>
      </c>
      <c r="E38" s="15" t="s">
        <v>138</v>
      </c>
      <c r="F38" s="15" t="s">
        <v>138</v>
      </c>
      <c r="G38" s="15" t="s">
        <v>138</v>
      </c>
      <c r="H38" s="15" t="s">
        <v>138</v>
      </c>
      <c r="I38" s="16">
        <f>SUM(D38:H38)</f>
      </c>
      <c r="J38" s="17" t="s">
        <v>138</v>
      </c>
    </row>
    <row r="39" ht="20" customHeight="1" spans="1:10" x14ac:dyDescent="0.25">
      <c r="A39" s="14" t="s">
        <v>122</v>
      </c>
      <c r="B39" s="14" t="s">
        <v>123</v>
      </c>
      <c r="C39" s="14" t="s">
        <v>124</v>
      </c>
      <c r="D39" s="15" t="s">
        <v>138</v>
      </c>
      <c r="E39" s="15" t="s">
        <v>138</v>
      </c>
      <c r="F39" s="15" t="s">
        <v>138</v>
      </c>
      <c r="G39" s="15" t="s">
        <v>138</v>
      </c>
      <c r="H39" s="15" t="s">
        <v>138</v>
      </c>
      <c r="I39" s="16">
        <f>SUM(D39:H39)</f>
      </c>
      <c r="J39" s="17" t="s">
        <v>138</v>
      </c>
    </row>
  </sheetData>
  <mergeCells count="8">
    <mergeCell ref="A1:J1"/>
    <mergeCell ref="A2:C2"/>
    <mergeCell ref="D2:G2"/>
    <mergeCell ref="H2:J2"/>
    <mergeCell ref="A6:J6"/>
    <mergeCell ref="A13:J13"/>
    <mergeCell ref="A26:J26"/>
    <mergeCell ref="A35:J35"/>
  </mergeCells>
  <pageMargins left="0.7" right="0.7" top="0.75" bottom="0.75" header="0.3" footer="0.3"/>
  <pageSetup paperSize="9"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workbookViewId="0" rightToLeft="1"/>
  </sheetViews>
  <sheetFormatPr defaultRowHeight="15" outlineLevelRow="0" outlineLevelCol="0" x14ac:dyDescent="55"/>
  <cols>
    <col min="1" max="1" width="12" customWidth="1"/>
    <col min="2" max="2" width="22" customWidth="1"/>
    <col min="3" max="3" width="24" customWidth="1"/>
    <col min="4" max="6" width="16" customWidth="1"/>
    <col min="7" max="8" width="14" customWidth="1"/>
    <col min="9" max="9" width="16" customWidth="1"/>
    <col min="10" max="10" width="12" customWidth="1"/>
    <col min="11" max="11" width="14" customWidth="1"/>
    <col min="12" max="12" width="12" customWidth="1"/>
    <col min="13" max="14" width="14" customWidth="1"/>
    <col min="15" max="15" width="16" customWidth="1"/>
    <col min="16" max="16" width="18" customWidth="1"/>
    <col min="17" max="17" width="20" customWidth="1"/>
  </cols>
  <sheetData>
    <row r="1" spans="1:17" x14ac:dyDescent="0.25">
      <c r="A1" s="18" t="s">
        <v>142</v>
      </c>
      <c r="B1" s="18"/>
      <c r="C1" s="18"/>
      <c r="D1" s="18"/>
      <c r="E1" s="18"/>
      <c r="F1" s="18"/>
      <c r="G1" s="18"/>
      <c r="H1" s="18"/>
      <c r="I1" s="18"/>
      <c r="J1" s="18"/>
      <c r="K1" s="18"/>
      <c r="L1" s="18"/>
      <c r="M1" s="18"/>
      <c r="N1" s="18"/>
      <c r="O1" s="18"/>
      <c r="P1" s="18"/>
      <c r="Q1" s="18"/>
    </row>
    <row r="3" ht="30" customHeight="1" spans="1:17" x14ac:dyDescent="0.25">
      <c r="A3" s="19" t="s">
        <v>1</v>
      </c>
      <c r="B3" s="19" t="s">
        <v>2</v>
      </c>
      <c r="C3" s="19" t="s">
        <v>143</v>
      </c>
      <c r="D3" s="19" t="s">
        <v>144</v>
      </c>
      <c r="E3" s="19" t="s">
        <v>145</v>
      </c>
      <c r="F3" s="19" t="s">
        <v>146</v>
      </c>
      <c r="G3" s="19" t="s">
        <v>147</v>
      </c>
      <c r="H3" s="19" t="s">
        <v>148</v>
      </c>
      <c r="I3" s="19" t="s">
        <v>149</v>
      </c>
      <c r="J3" s="19" t="s">
        <v>150</v>
      </c>
      <c r="K3" s="19" t="s">
        <v>151</v>
      </c>
      <c r="L3" s="19" t="s">
        <v>152</v>
      </c>
      <c r="M3" s="19" t="s">
        <v>153</v>
      </c>
      <c r="N3" s="19" t="s">
        <v>154</v>
      </c>
      <c r="O3" s="19" t="s">
        <v>155</v>
      </c>
      <c r="P3" s="19" t="s">
        <v>156</v>
      </c>
      <c r="Q3" s="19" t="s">
        <v>157</v>
      </c>
    </row>
    <row r="4" ht="23" customHeight="1" spans="1:17" x14ac:dyDescent="0.25">
      <c r="A4" s="20" t="s">
        <v>36</v>
      </c>
      <c r="B4" s="20" t="s">
        <v>37</v>
      </c>
      <c r="C4" s="20" t="s">
        <v>38</v>
      </c>
      <c r="D4" s="21">
        <v>7500</v>
      </c>
      <c r="E4" s="21">
        <f>D4*0.75</f>
      </c>
      <c r="F4" s="21">
        <f>D4*0.25</f>
      </c>
      <c r="G4" s="22">
        <f>'تقييم يومي - الاستقبال'!AI4</f>
      </c>
      <c r="H4" s="23">
        <f>IF(G4&gt;=90,1,IF(G4&gt;=80,0.75,IF(G4&gt;=70,0.5,0)))</f>
      </c>
      <c r="I4" s="21">
        <f>F4*H4</f>
      </c>
      <c r="J4" s="24">
        <v>0</v>
      </c>
      <c r="K4" s="21">
        <f>ROUND((E4/30)*J4, 2)</f>
      </c>
      <c r="L4" s="24">
        <v>0</v>
      </c>
      <c r="M4" s="21">
        <f>ROUND((E4/30)*L4, 2)</f>
      </c>
      <c r="N4" s="21">
        <v>500</v>
      </c>
      <c r="O4" s="21">
        <f>K4+M4+N4</f>
      </c>
      <c r="P4" s="25">
        <f>E4+I4-O4</f>
      </c>
      <c r="Q4" s="24" t="s">
        <v>138</v>
      </c>
    </row>
    <row r="5" ht="23" customHeight="1" spans="1:17" x14ac:dyDescent="0.25">
      <c r="A5" s="26" t="s">
        <v>39</v>
      </c>
      <c r="B5" s="26" t="s">
        <v>40</v>
      </c>
      <c r="C5" s="26" t="s">
        <v>41</v>
      </c>
      <c r="D5" s="27">
        <v>5800</v>
      </c>
      <c r="E5" s="27">
        <f>D5*0.75</f>
      </c>
      <c r="F5" s="27">
        <f>D5*0.25</f>
      </c>
      <c r="G5" s="22">
        <f>'تقييم يومي - الاستقبال'!AI5</f>
      </c>
      <c r="H5" s="28">
        <f>IF(G5&gt;=90,1,IF(G5&gt;=80,0.75,IF(G5&gt;=70,0.5,0)))</f>
      </c>
      <c r="I5" s="27">
        <f>F5*H5</f>
      </c>
      <c r="J5" s="29">
        <v>1</v>
      </c>
      <c r="K5" s="27">
        <f>ROUND((E5/30)*J5, 2)</f>
      </c>
      <c r="L5" s="29">
        <v>0</v>
      </c>
      <c r="M5" s="27">
        <f>ROUND((E5/30)*L5, 2)</f>
      </c>
      <c r="N5" s="27">
        <v>0</v>
      </c>
      <c r="O5" s="27">
        <f>K5+M5+N5</f>
      </c>
      <c r="P5" s="25">
        <f>E5+I5-O5</f>
      </c>
      <c r="Q5" s="29" t="s">
        <v>138</v>
      </c>
    </row>
    <row r="6" ht="23" customHeight="1" spans="1:17" x14ac:dyDescent="0.25">
      <c r="A6" s="20" t="s">
        <v>42</v>
      </c>
      <c r="B6" s="20" t="s">
        <v>43</v>
      </c>
      <c r="C6" s="20" t="s">
        <v>44</v>
      </c>
      <c r="D6" s="21">
        <v>5800</v>
      </c>
      <c r="E6" s="21">
        <f>D6*0.75</f>
      </c>
      <c r="F6" s="21">
        <f>D6*0.25</f>
      </c>
      <c r="G6" s="22">
        <f>'تقييم يومي - الاستقبال'!AI6</f>
      </c>
      <c r="H6" s="23">
        <f>IF(G6&gt;=90,1,IF(G6&gt;=80,0.75,IF(G6&gt;=70,0.5,0)))</f>
      </c>
      <c r="I6" s="21">
        <f>F6*H6</f>
      </c>
      <c r="J6" s="24">
        <v>0</v>
      </c>
      <c r="K6" s="21">
        <f>ROUND((E6/30)*J6, 2)</f>
      </c>
      <c r="L6" s="24">
        <v>0</v>
      </c>
      <c r="M6" s="21">
        <f>ROUND((E6/30)*L6, 2)</f>
      </c>
      <c r="N6" s="21">
        <v>300</v>
      </c>
      <c r="O6" s="21">
        <f>K6+M6+N6</f>
      </c>
      <c r="P6" s="25">
        <f>E6+I6-O6</f>
      </c>
      <c r="Q6" s="24" t="s">
        <v>138</v>
      </c>
    </row>
    <row r="7" ht="23" customHeight="1" spans="1:17" x14ac:dyDescent="0.25">
      <c r="A7" s="26" t="s">
        <v>45</v>
      </c>
      <c r="B7" s="26" t="s">
        <v>46</v>
      </c>
      <c r="C7" s="26" t="s">
        <v>47</v>
      </c>
      <c r="D7" s="27">
        <v>5500</v>
      </c>
      <c r="E7" s="27">
        <f>D7*0.75</f>
      </c>
      <c r="F7" s="27">
        <f>D7*0.25</f>
      </c>
      <c r="G7" s="22">
        <f>'تقييم يومي - الاستقبال'!AI7</f>
      </c>
      <c r="H7" s="28">
        <f>IF(G7&gt;=90,1,IF(G7&gt;=80,0.75,IF(G7&gt;=70,0.5,0)))</f>
      </c>
      <c r="I7" s="27">
        <f>F7*H7</f>
      </c>
      <c r="J7" s="29">
        <v>0</v>
      </c>
      <c r="K7" s="27">
        <f>ROUND((E7/30)*J7, 2)</f>
      </c>
      <c r="L7" s="29">
        <v>1</v>
      </c>
      <c r="M7" s="27">
        <f>ROUND((E7/30)*L7, 2)</f>
      </c>
      <c r="N7" s="27">
        <v>0</v>
      </c>
      <c r="O7" s="27">
        <f>K7+M7+N7</f>
      </c>
      <c r="P7" s="25">
        <f>E7+I7-O7</f>
      </c>
      <c r="Q7" s="29" t="s">
        <v>138</v>
      </c>
    </row>
    <row r="8" ht="23" customHeight="1" spans="1:17" x14ac:dyDescent="0.25">
      <c r="A8" s="20" t="s">
        <v>48</v>
      </c>
      <c r="B8" s="20" t="s">
        <v>49</v>
      </c>
      <c r="C8" s="20" t="s">
        <v>50</v>
      </c>
      <c r="D8" s="21">
        <v>6000</v>
      </c>
      <c r="E8" s="21">
        <f>D8*0.75</f>
      </c>
      <c r="F8" s="21">
        <f>D8*0.25</f>
      </c>
      <c r="G8" s="22">
        <f>'تقييم يومي - الاستقبال'!AI8</f>
      </c>
      <c r="H8" s="23">
        <f>IF(G8&gt;=90,1,IF(G8&gt;=80,0.75,IF(G8&gt;=70,0.5,0)))</f>
      </c>
      <c r="I8" s="21">
        <f>F8*H8</f>
      </c>
      <c r="J8" s="24">
        <v>0</v>
      </c>
      <c r="K8" s="21">
        <f>ROUND((E8/30)*J8, 2)</f>
      </c>
      <c r="L8" s="24">
        <v>0</v>
      </c>
      <c r="M8" s="21">
        <f>ROUND((E8/30)*L8, 2)</f>
      </c>
      <c r="N8" s="21">
        <v>200</v>
      </c>
      <c r="O8" s="21">
        <f>K8+M8+N8</f>
      </c>
      <c r="P8" s="25">
        <f>E8+I8-O8</f>
      </c>
      <c r="Q8" s="24" t="s">
        <v>138</v>
      </c>
    </row>
    <row r="9" ht="23" customHeight="1" spans="1:17" x14ac:dyDescent="0.25">
      <c r="A9" s="26" t="s">
        <v>51</v>
      </c>
      <c r="B9" s="26" t="s">
        <v>52</v>
      </c>
      <c r="C9" s="26" t="s">
        <v>53</v>
      </c>
      <c r="D9" s="27">
        <v>4800</v>
      </c>
      <c r="E9" s="27">
        <f>D9*0.75</f>
      </c>
      <c r="F9" s="27">
        <f>D9*0.25</f>
      </c>
      <c r="G9" s="22">
        <f>'تقييم يومي - الاستقبال'!AI9</f>
      </c>
      <c r="H9" s="28">
        <f>IF(G9&gt;=90,1,IF(G9&gt;=80,0.75,IF(G9&gt;=70,0.5,0)))</f>
      </c>
      <c r="I9" s="27">
        <f>F9*H9</f>
      </c>
      <c r="J9" s="29">
        <v>1</v>
      </c>
      <c r="K9" s="27">
        <f>ROUND((E9/30)*J9, 2)</f>
      </c>
      <c r="L9" s="29">
        <v>0</v>
      </c>
      <c r="M9" s="27">
        <f>ROUND((E9/30)*L9, 2)</f>
      </c>
      <c r="N9" s="27">
        <v>150</v>
      </c>
      <c r="O9" s="27">
        <f>K9+M9+N9</f>
      </c>
      <c r="P9" s="25">
        <f>E9+I9-O9</f>
      </c>
      <c r="Q9" s="29" t="s">
        <v>138</v>
      </c>
    </row>
    <row r="10" ht="23" customHeight="1" spans="1:17" x14ac:dyDescent="0.25">
      <c r="A10" s="20" t="s">
        <v>55</v>
      </c>
      <c r="B10" s="20" t="s">
        <v>56</v>
      </c>
      <c r="C10" s="20" t="s">
        <v>57</v>
      </c>
      <c r="D10" s="21">
        <v>6500</v>
      </c>
      <c r="E10" s="21">
        <f>D10*0.75</f>
      </c>
      <c r="F10" s="21">
        <f>D10*0.25</f>
      </c>
      <c r="G10" s="22">
        <f>'تقييم يومي - الإشراف والغرف'!AI4</f>
      </c>
      <c r="H10" s="23">
        <f>IF(G10&gt;=90,1,IF(G10&gt;=80,0.75,IF(G10&gt;=70,0.5,0)))</f>
      </c>
      <c r="I10" s="21">
        <f>F10*H10</f>
      </c>
      <c r="J10" s="24">
        <v>0</v>
      </c>
      <c r="K10" s="21">
        <f>ROUND((E10/30)*J10, 2)</f>
      </c>
      <c r="L10" s="24">
        <v>0</v>
      </c>
      <c r="M10" s="21">
        <f>ROUND((E10/30)*L10, 2)</f>
      </c>
      <c r="N10" s="21">
        <v>400</v>
      </c>
      <c r="O10" s="21">
        <f>K10+M10+N10</f>
      </c>
      <c r="P10" s="25">
        <f>E10+I10-O10</f>
      </c>
      <c r="Q10" s="24" t="s">
        <v>138</v>
      </c>
    </row>
    <row r="11" ht="23" customHeight="1" spans="1:17" x14ac:dyDescent="0.25">
      <c r="A11" s="26" t="s">
        <v>58</v>
      </c>
      <c r="B11" s="26" t="s">
        <v>59</v>
      </c>
      <c r="C11" s="26" t="s">
        <v>60</v>
      </c>
      <c r="D11" s="27">
        <v>4600</v>
      </c>
      <c r="E11" s="27">
        <f>D11*0.75</f>
      </c>
      <c r="F11" s="27">
        <f>D11*0.25</f>
      </c>
      <c r="G11" s="22">
        <f>'تقييم يومي - الإشراف والغرف'!AI5</f>
      </c>
      <c r="H11" s="28">
        <f>IF(G11&gt;=90,1,IF(G11&gt;=80,0.75,IF(G11&gt;=70,0.5,0)))</f>
      </c>
      <c r="I11" s="27">
        <f>F11*H11</f>
      </c>
      <c r="J11" s="29">
        <v>1</v>
      </c>
      <c r="K11" s="27">
        <f>ROUND((E11/30)*J11, 2)</f>
      </c>
      <c r="L11" s="29">
        <v>0</v>
      </c>
      <c r="M11" s="27">
        <f>ROUND((E11/30)*L11, 2)</f>
      </c>
      <c r="N11" s="27">
        <v>200</v>
      </c>
      <c r="O11" s="27">
        <f>K11+M11+N11</f>
      </c>
      <c r="P11" s="25">
        <f>E11+I11-O11</f>
      </c>
      <c r="Q11" s="29" t="s">
        <v>138</v>
      </c>
    </row>
    <row r="12" ht="23" customHeight="1" spans="1:17" x14ac:dyDescent="0.25">
      <c r="A12" s="20" t="s">
        <v>61</v>
      </c>
      <c r="B12" s="20" t="s">
        <v>62</v>
      </c>
      <c r="C12" s="20" t="s">
        <v>63</v>
      </c>
      <c r="D12" s="21">
        <v>4400</v>
      </c>
      <c r="E12" s="21">
        <f>D12*0.75</f>
      </c>
      <c r="F12" s="21">
        <f>D12*0.25</f>
      </c>
      <c r="G12" s="22">
        <f>'تقييم يومي - الإشراف والغرف'!AI6</f>
      </c>
      <c r="H12" s="23">
        <f>IF(G12&gt;=90,1,IF(G12&gt;=80,0.75,IF(G12&gt;=70,0.5,0)))</f>
      </c>
      <c r="I12" s="21">
        <f>F12*H12</f>
      </c>
      <c r="J12" s="24">
        <v>2</v>
      </c>
      <c r="K12" s="21">
        <f>ROUND((E12/30)*J12, 2)</f>
      </c>
      <c r="L12" s="24">
        <v>1</v>
      </c>
      <c r="M12" s="21">
        <f>ROUND((E12/30)*L12, 2)</f>
      </c>
      <c r="N12" s="21">
        <v>0</v>
      </c>
      <c r="O12" s="21">
        <f>K12+M12+N12</f>
      </c>
      <c r="P12" s="25">
        <f>E12+I12-O12</f>
      </c>
      <c r="Q12" s="24" t="s">
        <v>138</v>
      </c>
    </row>
    <row r="13" ht="23" customHeight="1" spans="1:17" x14ac:dyDescent="0.25">
      <c r="A13" s="26" t="s">
        <v>64</v>
      </c>
      <c r="B13" s="26" t="s">
        <v>65</v>
      </c>
      <c r="C13" s="26" t="s">
        <v>63</v>
      </c>
      <c r="D13" s="27">
        <v>4400</v>
      </c>
      <c r="E13" s="27">
        <f>D13*0.75</f>
      </c>
      <c r="F13" s="27">
        <f>D13*0.25</f>
      </c>
      <c r="G13" s="22">
        <f>'تقييم يومي - الإشراف والغرف'!AI7</f>
      </c>
      <c r="H13" s="28">
        <f>IF(G13&gt;=90,1,IF(G13&gt;=80,0.75,IF(G13&gt;=70,0.5,0)))</f>
      </c>
      <c r="I13" s="27">
        <f>F13*H13</f>
      </c>
      <c r="J13" s="29">
        <v>0</v>
      </c>
      <c r="K13" s="27">
        <f>ROUND((E13/30)*J13, 2)</f>
      </c>
      <c r="L13" s="29">
        <v>0</v>
      </c>
      <c r="M13" s="27">
        <f>ROUND((E13/30)*L13, 2)</f>
      </c>
      <c r="N13" s="27">
        <v>100</v>
      </c>
      <c r="O13" s="27">
        <f>K13+M13+N13</f>
      </c>
      <c r="P13" s="25">
        <f>E13+I13-O13</f>
      </c>
      <c r="Q13" s="29" t="s">
        <v>138</v>
      </c>
    </row>
    <row r="14" ht="23" customHeight="1" spans="1:17" x14ac:dyDescent="0.25">
      <c r="A14" s="20" t="s">
        <v>66</v>
      </c>
      <c r="B14" s="20" t="s">
        <v>67</v>
      </c>
      <c r="C14" s="20" t="s">
        <v>63</v>
      </c>
      <c r="D14" s="21">
        <v>4400</v>
      </c>
      <c r="E14" s="21">
        <f>D14*0.75</f>
      </c>
      <c r="F14" s="21">
        <f>D14*0.25</f>
      </c>
      <c r="G14" s="22">
        <f>'تقييم يومي - الإشراف والغرف'!AI8</f>
      </c>
      <c r="H14" s="23">
        <f>IF(G14&gt;=90,1,IF(G14&gt;=80,0.75,IF(G14&gt;=70,0.5,0)))</f>
      </c>
      <c r="I14" s="21">
        <f>F14*H14</f>
      </c>
      <c r="J14" s="24">
        <v>0</v>
      </c>
      <c r="K14" s="21">
        <f>ROUND((E14/30)*J14, 2)</f>
      </c>
      <c r="L14" s="24">
        <v>0</v>
      </c>
      <c r="M14" s="21">
        <f>ROUND((E14/30)*L14, 2)</f>
      </c>
      <c r="N14" s="21">
        <v>0</v>
      </c>
      <c r="O14" s="21">
        <f>K14+M14+N14</f>
      </c>
      <c r="P14" s="25">
        <f>E14+I14-O14</f>
      </c>
      <c r="Q14" s="24" t="s">
        <v>138</v>
      </c>
    </row>
    <row r="15" ht="23" customHeight="1" spans="1:17" x14ac:dyDescent="0.25">
      <c r="A15" s="26" t="s">
        <v>68</v>
      </c>
      <c r="B15" s="26" t="s">
        <v>69</v>
      </c>
      <c r="C15" s="26" t="s">
        <v>63</v>
      </c>
      <c r="D15" s="27">
        <v>4400</v>
      </c>
      <c r="E15" s="27">
        <f>D15*0.75</f>
      </c>
      <c r="F15" s="27">
        <f>D15*0.25</f>
      </c>
      <c r="G15" s="22">
        <f>'تقييم يومي - الإشراف والغرف'!AI9</f>
      </c>
      <c r="H15" s="28">
        <f>IF(G15&gt;=90,1,IF(G15&gt;=80,0.75,IF(G15&gt;=70,0.5,0)))</f>
      </c>
      <c r="I15" s="27">
        <f>F15*H15</f>
      </c>
      <c r="J15" s="29">
        <v>3</v>
      </c>
      <c r="K15" s="27">
        <f>ROUND((E15/30)*J15, 2)</f>
      </c>
      <c r="L15" s="29">
        <v>2</v>
      </c>
      <c r="M15" s="27">
        <f>ROUND((E15/30)*L15, 2)</f>
      </c>
      <c r="N15" s="27">
        <v>300</v>
      </c>
      <c r="O15" s="27">
        <f>K15+M15+N15</f>
      </c>
      <c r="P15" s="25">
        <f>E15+I15-O15</f>
      </c>
      <c r="Q15" s="29" t="s">
        <v>138</v>
      </c>
    </row>
    <row r="16" ht="23" customHeight="1" spans="1:17" x14ac:dyDescent="0.25">
      <c r="A16" s="20" t="s">
        <v>70</v>
      </c>
      <c r="B16" s="20" t="s">
        <v>71</v>
      </c>
      <c r="C16" s="20" t="s">
        <v>72</v>
      </c>
      <c r="D16" s="21">
        <v>4500</v>
      </c>
      <c r="E16" s="21">
        <f>D16*0.75</f>
      </c>
      <c r="F16" s="21">
        <f>D16*0.25</f>
      </c>
      <c r="G16" s="22">
        <f>'تقييم يومي - الإشراف والغرف'!AI10</f>
      </c>
      <c r="H16" s="23">
        <f>IF(G16&gt;=90,1,IF(G16&gt;=80,0.75,IF(G16&gt;=70,0.5,0)))</f>
      </c>
      <c r="I16" s="21">
        <f>F16*H16</f>
      </c>
      <c r="J16" s="24">
        <v>0</v>
      </c>
      <c r="K16" s="21">
        <f>ROUND((E16/30)*J16, 2)</f>
      </c>
      <c r="L16" s="24">
        <v>0</v>
      </c>
      <c r="M16" s="21">
        <f>ROUND((E16/30)*L16, 2)</f>
      </c>
      <c r="N16" s="21">
        <v>250</v>
      </c>
      <c r="O16" s="21">
        <f>K16+M16+N16</f>
      </c>
      <c r="P16" s="25">
        <f>E16+I16-O16</f>
      </c>
      <c r="Q16" s="24" t="s">
        <v>138</v>
      </c>
    </row>
    <row r="17" ht="23" customHeight="1" spans="1:17" x14ac:dyDescent="0.25">
      <c r="A17" s="26" t="s">
        <v>73</v>
      </c>
      <c r="B17" s="26" t="s">
        <v>74</v>
      </c>
      <c r="C17" s="26" t="s">
        <v>75</v>
      </c>
      <c r="D17" s="27">
        <v>4200</v>
      </c>
      <c r="E17" s="27">
        <f>D17*0.75</f>
      </c>
      <c r="F17" s="27">
        <f>D17*0.25</f>
      </c>
      <c r="G17" s="22">
        <f>'تقييم يومي - الإشراف والغرف'!AI11</f>
      </c>
      <c r="H17" s="28">
        <f>IF(G17&gt;=90,1,IF(G17&gt;=80,0.75,IF(G17&gt;=70,0.5,0)))</f>
      </c>
      <c r="I17" s="27">
        <f>F17*H17</f>
      </c>
      <c r="J17" s="29">
        <v>0</v>
      </c>
      <c r="K17" s="27">
        <f>ROUND((E17/30)*J17, 2)</f>
      </c>
      <c r="L17" s="29">
        <v>0</v>
      </c>
      <c r="M17" s="27">
        <f>ROUND((E17/30)*L17, 2)</f>
      </c>
      <c r="N17" s="27">
        <v>0</v>
      </c>
      <c r="O17" s="27">
        <f>K17+M17+N17</f>
      </c>
      <c r="P17" s="25">
        <f>E17+I17-O17</f>
      </c>
      <c r="Q17" s="29" t="s">
        <v>138</v>
      </c>
    </row>
    <row r="18" ht="23" customHeight="1" spans="1:17" x14ac:dyDescent="0.25">
      <c r="A18" s="20" t="s">
        <v>76</v>
      </c>
      <c r="B18" s="20" t="s">
        <v>77</v>
      </c>
      <c r="C18" s="20" t="s">
        <v>75</v>
      </c>
      <c r="D18" s="21">
        <v>4200</v>
      </c>
      <c r="E18" s="21">
        <f>D18*0.75</f>
      </c>
      <c r="F18" s="21">
        <f>D18*0.25</f>
      </c>
      <c r="G18" s="22">
        <f>'تقييم يومي - الإشراف والغرف'!AI12</f>
      </c>
      <c r="H18" s="23">
        <f>IF(G18&gt;=90,1,IF(G18&gt;=80,0.75,IF(G18&gt;=70,0.5,0)))</f>
      </c>
      <c r="I18" s="21">
        <f>F18*H18</f>
      </c>
      <c r="J18" s="24">
        <v>1</v>
      </c>
      <c r="K18" s="21">
        <f>ROUND((E18/30)*J18, 2)</f>
      </c>
      <c r="L18" s="24">
        <v>0</v>
      </c>
      <c r="M18" s="21">
        <f>ROUND((E18/30)*L18, 2)</f>
      </c>
      <c r="N18" s="21">
        <v>100</v>
      </c>
      <c r="O18" s="21">
        <f>K18+M18+N18</f>
      </c>
      <c r="P18" s="25">
        <f>E18+I18-O18</f>
      </c>
      <c r="Q18" s="24" t="s">
        <v>138</v>
      </c>
    </row>
    <row r="19" ht="23" customHeight="1" spans="1:17" x14ac:dyDescent="0.25">
      <c r="A19" s="26" t="s">
        <v>78</v>
      </c>
      <c r="B19" s="26" t="s">
        <v>79</v>
      </c>
      <c r="C19" s="26" t="s">
        <v>80</v>
      </c>
      <c r="D19" s="27">
        <v>4300</v>
      </c>
      <c r="E19" s="27">
        <f>D19*0.75</f>
      </c>
      <c r="F19" s="27">
        <f>D19*0.25</f>
      </c>
      <c r="G19" s="22">
        <f>'تقييم يومي - الإشراف والغرف'!AI13</f>
      </c>
      <c r="H19" s="28">
        <f>IF(G19&gt;=90,1,IF(G19&gt;=80,0.75,IF(G19&gt;=70,0.5,0)))</f>
      </c>
      <c r="I19" s="27">
        <f>F19*H19</f>
      </c>
      <c r="J19" s="29">
        <v>2</v>
      </c>
      <c r="K19" s="27">
        <f>ROUND((E19/30)*J19, 2)</f>
      </c>
      <c r="L19" s="29">
        <v>0</v>
      </c>
      <c r="M19" s="27">
        <f>ROUND((E19/30)*L19, 2)</f>
      </c>
      <c r="N19" s="27">
        <v>0</v>
      </c>
      <c r="O19" s="27">
        <f>K19+M19+N19</f>
      </c>
      <c r="P19" s="25">
        <f>E19+I19-O19</f>
      </c>
      <c r="Q19" s="29" t="s">
        <v>138</v>
      </c>
    </row>
    <row r="20" ht="23" customHeight="1" spans="1:17" x14ac:dyDescent="0.25">
      <c r="A20" s="20" t="s">
        <v>81</v>
      </c>
      <c r="B20" s="20" t="s">
        <v>82</v>
      </c>
      <c r="C20" s="20" t="s">
        <v>83</v>
      </c>
      <c r="D20" s="21">
        <v>4300</v>
      </c>
      <c r="E20" s="21">
        <f>D20*0.75</f>
      </c>
      <c r="F20" s="21">
        <f>D20*0.25</f>
      </c>
      <c r="G20" s="22">
        <f>'تقييم يومي - الإشراف والغرف'!AI14</f>
      </c>
      <c r="H20" s="23">
        <f>IF(G20&gt;=90,1,IF(G20&gt;=80,0.75,IF(G20&gt;=70,0.5,0)))</f>
      </c>
      <c r="I20" s="21">
        <f>F20*H20</f>
      </c>
      <c r="J20" s="24">
        <v>0</v>
      </c>
      <c r="K20" s="21">
        <f>ROUND((E20/30)*J20, 2)</f>
      </c>
      <c r="L20" s="24">
        <v>0</v>
      </c>
      <c r="M20" s="21">
        <f>ROUND((E20/30)*L20, 2)</f>
      </c>
      <c r="N20" s="21">
        <v>150</v>
      </c>
      <c r="O20" s="21">
        <f>K20+M20+N20</f>
      </c>
      <c r="P20" s="25">
        <f>E20+I20-O20</f>
      </c>
      <c r="Q20" s="24" t="s">
        <v>138</v>
      </c>
    </row>
    <row r="21" ht="23" customHeight="1" spans="1:17" x14ac:dyDescent="0.25">
      <c r="A21" s="26" t="s">
        <v>84</v>
      </c>
      <c r="B21" s="26" t="s">
        <v>85</v>
      </c>
      <c r="C21" s="26" t="s">
        <v>86</v>
      </c>
      <c r="D21" s="27">
        <v>4200</v>
      </c>
      <c r="E21" s="27">
        <f>D21*0.75</f>
      </c>
      <c r="F21" s="27">
        <f>D21*0.25</f>
      </c>
      <c r="G21" s="22">
        <f>'تقييم يومي - الإشراف والغرف'!AI15</f>
      </c>
      <c r="H21" s="28">
        <f>IF(G21&gt;=90,1,IF(G21&gt;=80,0.75,IF(G21&gt;=70,0.5,0)))</f>
      </c>
      <c r="I21" s="27">
        <f>F21*H21</f>
      </c>
      <c r="J21" s="29">
        <v>0</v>
      </c>
      <c r="K21" s="27">
        <f>ROUND((E21/30)*J21, 2)</f>
      </c>
      <c r="L21" s="29">
        <v>1</v>
      </c>
      <c r="M21" s="27">
        <f>ROUND((E21/30)*L21, 2)</f>
      </c>
      <c r="N21" s="27">
        <v>0</v>
      </c>
      <c r="O21" s="27">
        <f>K21+M21+N21</f>
      </c>
      <c r="P21" s="25">
        <f>E21+I21-O21</f>
      </c>
      <c r="Q21" s="29" t="s">
        <v>138</v>
      </c>
    </row>
    <row r="22" ht="23" customHeight="1" spans="1:17" x14ac:dyDescent="0.25">
      <c r="A22" s="20" t="s">
        <v>88</v>
      </c>
      <c r="B22" s="20" t="s">
        <v>89</v>
      </c>
      <c r="C22" s="20" t="s">
        <v>90</v>
      </c>
      <c r="D22" s="21">
        <v>8500</v>
      </c>
      <c r="E22" s="21">
        <f>D22*0.75</f>
      </c>
      <c r="F22" s="21">
        <f>D22*0.25</f>
      </c>
      <c r="G22" s="22">
        <f>'تقييم يومي - المطعم والخدمة'!AI4</f>
      </c>
      <c r="H22" s="23">
        <f>IF(G22&gt;=90,1,IF(G22&gt;=80,0.75,IF(G22&gt;=70,0.5,0)))</f>
      </c>
      <c r="I22" s="21">
        <f>F22*H22</f>
      </c>
      <c r="J22" s="24">
        <v>0</v>
      </c>
      <c r="K22" s="21">
        <f>ROUND((E22/30)*J22, 2)</f>
      </c>
      <c r="L22" s="24">
        <v>0</v>
      </c>
      <c r="M22" s="21">
        <f>ROUND((E22/30)*L22, 2)</f>
      </c>
      <c r="N22" s="21">
        <v>1000</v>
      </c>
      <c r="O22" s="21">
        <f>K22+M22+N22</f>
      </c>
      <c r="P22" s="25">
        <f>E22+I22-O22</f>
      </c>
      <c r="Q22" s="24" t="s">
        <v>138</v>
      </c>
    </row>
    <row r="23" ht="23" customHeight="1" spans="1:17" x14ac:dyDescent="0.25">
      <c r="A23" s="26" t="s">
        <v>91</v>
      </c>
      <c r="B23" s="26" t="s">
        <v>92</v>
      </c>
      <c r="C23" s="26" t="s">
        <v>93</v>
      </c>
      <c r="D23" s="27">
        <v>6800</v>
      </c>
      <c r="E23" s="27">
        <f>D23*0.75</f>
      </c>
      <c r="F23" s="27">
        <f>D23*0.25</f>
      </c>
      <c r="G23" s="22">
        <f>'تقييم يومي - المطعم والخدمة'!AI5</f>
      </c>
      <c r="H23" s="28">
        <f>IF(G23&gt;=90,1,IF(G23&gt;=80,0.75,IF(G23&gt;=70,0.5,0)))</f>
      </c>
      <c r="I23" s="27">
        <f>F23*H23</f>
      </c>
      <c r="J23" s="29">
        <v>0</v>
      </c>
      <c r="K23" s="27">
        <f>ROUND((E23/30)*J23, 2)</f>
      </c>
      <c r="L23" s="29">
        <v>0</v>
      </c>
      <c r="M23" s="27">
        <f>ROUND((E23/30)*L23, 2)</f>
      </c>
      <c r="N23" s="27">
        <v>300</v>
      </c>
      <c r="O23" s="27">
        <f>K23+M23+N23</f>
      </c>
      <c r="P23" s="25">
        <f>E23+I23-O23</f>
      </c>
      <c r="Q23" s="29" t="s">
        <v>138</v>
      </c>
    </row>
    <row r="24" ht="23" customHeight="1" spans="1:17" x14ac:dyDescent="0.25">
      <c r="A24" s="20" t="s">
        <v>94</v>
      </c>
      <c r="B24" s="20" t="s">
        <v>95</v>
      </c>
      <c r="C24" s="20" t="s">
        <v>96</v>
      </c>
      <c r="D24" s="21">
        <v>4900</v>
      </c>
      <c r="E24" s="21">
        <f>D24*0.75</f>
      </c>
      <c r="F24" s="21">
        <f>D24*0.25</f>
      </c>
      <c r="G24" s="22">
        <f>'تقييم يومي - المطعم والخدمة'!AI6</f>
      </c>
      <c r="H24" s="23">
        <f>IF(G24&gt;=90,1,IF(G24&gt;=80,0.75,IF(G24&gt;=70,0.5,0)))</f>
      </c>
      <c r="I24" s="21">
        <f>F24*H24</f>
      </c>
      <c r="J24" s="24">
        <v>0</v>
      </c>
      <c r="K24" s="21">
        <f>ROUND((E24/30)*J24, 2)</f>
      </c>
      <c r="L24" s="24">
        <v>0</v>
      </c>
      <c r="M24" s="21">
        <f>ROUND((E24/30)*L24, 2)</f>
      </c>
      <c r="N24" s="21">
        <v>0</v>
      </c>
      <c r="O24" s="21">
        <f>K24+M24+N24</f>
      </c>
      <c r="P24" s="25">
        <f>E24+I24-O24</f>
      </c>
      <c r="Q24" s="24" t="s">
        <v>138</v>
      </c>
    </row>
    <row r="25" ht="23" customHeight="1" spans="1:17" x14ac:dyDescent="0.25">
      <c r="A25" s="26" t="s">
        <v>97</v>
      </c>
      <c r="B25" s="26" t="s">
        <v>98</v>
      </c>
      <c r="C25" s="26" t="s">
        <v>99</v>
      </c>
      <c r="D25" s="27">
        <v>4700</v>
      </c>
      <c r="E25" s="27">
        <f>D25*0.75</f>
      </c>
      <c r="F25" s="27">
        <f>D25*0.25</f>
      </c>
      <c r="G25" s="22">
        <f>'تقييم يومي - المطعم والخدمة'!AI7</f>
      </c>
      <c r="H25" s="28">
        <f>IF(G25&gt;=90,1,IF(G25&gt;=80,0.75,IF(G25&gt;=70,0.5,0)))</f>
      </c>
      <c r="I25" s="27">
        <f>F25*H25</f>
      </c>
      <c r="J25" s="29">
        <v>2</v>
      </c>
      <c r="K25" s="27">
        <f>ROUND((E25/30)*J25, 2)</f>
      </c>
      <c r="L25" s="29">
        <v>1</v>
      </c>
      <c r="M25" s="27">
        <f>ROUND((E25/30)*L25, 2)</f>
      </c>
      <c r="N25" s="27">
        <v>200</v>
      </c>
      <c r="O25" s="27">
        <f>K25+M25+N25</f>
      </c>
      <c r="P25" s="25">
        <f>E25+I25-O25</f>
      </c>
      <c r="Q25" s="29" t="s">
        <v>138</v>
      </c>
    </row>
    <row r="26" ht="23" customHeight="1" spans="1:17" x14ac:dyDescent="0.25">
      <c r="A26" s="20" t="s">
        <v>100</v>
      </c>
      <c r="B26" s="20" t="s">
        <v>101</v>
      </c>
      <c r="C26" s="20" t="s">
        <v>102</v>
      </c>
      <c r="D26" s="21">
        <v>4700</v>
      </c>
      <c r="E26" s="21">
        <f>D26*0.75</f>
      </c>
      <c r="F26" s="21">
        <f>D26*0.25</f>
      </c>
      <c r="G26" s="22">
        <f>'تقييم يومي - المطعم والخدمة'!AI8</f>
      </c>
      <c r="H26" s="23">
        <f>IF(G26&gt;=90,1,IF(G26&gt;=80,0.75,IF(G26&gt;=70,0.5,0)))</f>
      </c>
      <c r="I26" s="21">
        <f>F26*H26</f>
      </c>
      <c r="J26" s="24">
        <v>0</v>
      </c>
      <c r="K26" s="21">
        <f>ROUND((E26/30)*J26, 2)</f>
      </c>
      <c r="L26" s="24">
        <v>0</v>
      </c>
      <c r="M26" s="21">
        <f>ROUND((E26/30)*L26, 2)</f>
      </c>
      <c r="N26" s="21">
        <v>150</v>
      </c>
      <c r="O26" s="21">
        <f>K26+M26+N26</f>
      </c>
      <c r="P26" s="25">
        <f>E26+I26-O26</f>
      </c>
      <c r="Q26" s="24" t="s">
        <v>138</v>
      </c>
    </row>
    <row r="27" ht="23" customHeight="1" spans="1:17" x14ac:dyDescent="0.25">
      <c r="A27" s="26" t="s">
        <v>103</v>
      </c>
      <c r="B27" s="26" t="s">
        <v>104</v>
      </c>
      <c r="C27" s="26" t="s">
        <v>105</v>
      </c>
      <c r="D27" s="27">
        <v>5000</v>
      </c>
      <c r="E27" s="27">
        <f>D27*0.75</f>
      </c>
      <c r="F27" s="27">
        <f>D27*0.25</f>
      </c>
      <c r="G27" s="22">
        <f>'تقييم يومي - المطعم والخدمة'!AI9</f>
      </c>
      <c r="H27" s="28">
        <f>IF(G27&gt;=90,1,IF(G27&gt;=80,0.75,IF(G27&gt;=70,0.5,0)))</f>
      </c>
      <c r="I27" s="27">
        <f>F27*H27</f>
      </c>
      <c r="J27" s="29">
        <v>0</v>
      </c>
      <c r="K27" s="27">
        <f>ROUND((E27/30)*J27, 2)</f>
      </c>
      <c r="L27" s="29">
        <v>0</v>
      </c>
      <c r="M27" s="27">
        <f>ROUND((E27/30)*L27, 2)</f>
      </c>
      <c r="N27" s="27">
        <v>400</v>
      </c>
      <c r="O27" s="27">
        <f>K27+M27+N27</f>
      </c>
      <c r="P27" s="25">
        <f>E27+I27-O27</f>
      </c>
      <c r="Q27" s="29" t="s">
        <v>138</v>
      </c>
    </row>
    <row r="28" ht="23" customHeight="1" spans="1:17" x14ac:dyDescent="0.25">
      <c r="A28" s="20" t="s">
        <v>106</v>
      </c>
      <c r="B28" s="20" t="s">
        <v>107</v>
      </c>
      <c r="C28" s="20" t="s">
        <v>108</v>
      </c>
      <c r="D28" s="21">
        <v>4300</v>
      </c>
      <c r="E28" s="21">
        <f>D28*0.75</f>
      </c>
      <c r="F28" s="21">
        <f>D28*0.25</f>
      </c>
      <c r="G28" s="22">
        <f>'تقييم يومي - المطعم والخدمة'!AI10</f>
      </c>
      <c r="H28" s="23">
        <f>IF(G28&gt;=90,1,IF(G28&gt;=80,0.75,IF(G28&gt;=70,0.5,0)))</f>
      </c>
      <c r="I28" s="21">
        <f>F28*H28</f>
      </c>
      <c r="J28" s="24">
        <v>1</v>
      </c>
      <c r="K28" s="21">
        <f>ROUND((E28/30)*J28, 2)</f>
      </c>
      <c r="L28" s="24">
        <v>0</v>
      </c>
      <c r="M28" s="21">
        <f>ROUND((E28/30)*L28, 2)</f>
      </c>
      <c r="N28" s="21">
        <v>0</v>
      </c>
      <c r="O28" s="21">
        <f>K28+M28+N28</f>
      </c>
      <c r="P28" s="25">
        <f>E28+I28-O28</f>
      </c>
      <c r="Q28" s="24" t="s">
        <v>138</v>
      </c>
    </row>
    <row r="29" ht="23" customHeight="1" spans="1:17" x14ac:dyDescent="0.25">
      <c r="A29" s="26" t="s">
        <v>109</v>
      </c>
      <c r="B29" s="26" t="s">
        <v>110</v>
      </c>
      <c r="C29" s="26" t="s">
        <v>111</v>
      </c>
      <c r="D29" s="27">
        <v>4200</v>
      </c>
      <c r="E29" s="27">
        <f>D29*0.75</f>
      </c>
      <c r="F29" s="27">
        <f>D29*0.25</f>
      </c>
      <c r="G29" s="22">
        <f>'تقييم يومي - المطعم والخدمة'!AI11</f>
      </c>
      <c r="H29" s="28">
        <f>IF(G29&gt;=90,1,IF(G29&gt;=80,0.75,IF(G29&gt;=70,0.5,0)))</f>
      </c>
      <c r="I29" s="27">
        <f>F29*H29</f>
      </c>
      <c r="J29" s="29">
        <v>0</v>
      </c>
      <c r="K29" s="27">
        <f>ROUND((E29/30)*J29, 2)</f>
      </c>
      <c r="L29" s="29">
        <v>0</v>
      </c>
      <c r="M29" s="27">
        <f>ROUND((E29/30)*L29, 2)</f>
      </c>
      <c r="N29" s="27">
        <v>100</v>
      </c>
      <c r="O29" s="27">
        <f>K29+M29+N29</f>
      </c>
      <c r="P29" s="25">
        <f>E29+I29-O29</f>
      </c>
      <c r="Q29" s="29" t="s">
        <v>138</v>
      </c>
    </row>
    <row r="30" ht="23" customHeight="1" spans="1:17" x14ac:dyDescent="0.25">
      <c r="A30" s="20" t="s">
        <v>113</v>
      </c>
      <c r="B30" s="20" t="s">
        <v>114</v>
      </c>
      <c r="C30" s="20" t="s">
        <v>115</v>
      </c>
      <c r="D30" s="21">
        <v>7200</v>
      </c>
      <c r="E30" s="21">
        <f>D30*0.75</f>
      </c>
      <c r="F30" s="21">
        <f>D30*0.25</f>
      </c>
      <c r="G30" s="22">
        <f>'تقييم يومي - الصيانة والخدمات'!AI4</f>
      </c>
      <c r="H30" s="23">
        <f>IF(G30&gt;=90,1,IF(G30&gt;=80,0.75,IF(G30&gt;=70,0.5,0)))</f>
      </c>
      <c r="I30" s="21">
        <f>F30*H30</f>
      </c>
      <c r="J30" s="24">
        <v>0</v>
      </c>
      <c r="K30" s="21">
        <f>ROUND((E30/30)*J30, 2)</f>
      </c>
      <c r="L30" s="24">
        <v>0</v>
      </c>
      <c r="M30" s="21">
        <f>ROUND((E30/30)*L30, 2)</f>
      </c>
      <c r="N30" s="21">
        <v>600</v>
      </c>
      <c r="O30" s="21">
        <f>K30+M30+N30</f>
      </c>
      <c r="P30" s="25">
        <f>E30+I30-O30</f>
      </c>
      <c r="Q30" s="24" t="s">
        <v>138</v>
      </c>
    </row>
    <row r="31" ht="23" customHeight="1" spans="1:17" x14ac:dyDescent="0.25">
      <c r="A31" s="26" t="s">
        <v>116</v>
      </c>
      <c r="B31" s="26" t="s">
        <v>117</v>
      </c>
      <c r="C31" s="26" t="s">
        <v>118</v>
      </c>
      <c r="D31" s="27">
        <v>5200</v>
      </c>
      <c r="E31" s="27">
        <f>D31*0.75</f>
      </c>
      <c r="F31" s="27">
        <f>D31*0.25</f>
      </c>
      <c r="G31" s="22">
        <f>'تقييم يومي - الصيانة والخدمات'!AI5</f>
      </c>
      <c r="H31" s="28">
        <f>IF(G31&gt;=90,1,IF(G31&gt;=80,0.75,IF(G31&gt;=70,0.5,0)))</f>
      </c>
      <c r="I31" s="27">
        <f>F31*H31</f>
      </c>
      <c r="J31" s="29">
        <v>0</v>
      </c>
      <c r="K31" s="27">
        <f>ROUND((E31/30)*J31, 2)</f>
      </c>
      <c r="L31" s="29">
        <v>0</v>
      </c>
      <c r="M31" s="27">
        <f>ROUND((E31/30)*L31, 2)</f>
      </c>
      <c r="N31" s="27">
        <v>200</v>
      </c>
      <c r="O31" s="27">
        <f>K31+M31+N31</f>
      </c>
      <c r="P31" s="25">
        <f>E31+I31-O31</f>
      </c>
      <c r="Q31" s="29" t="s">
        <v>138</v>
      </c>
    </row>
    <row r="32" ht="23" customHeight="1" spans="1:17" x14ac:dyDescent="0.25">
      <c r="A32" s="20" t="s">
        <v>119</v>
      </c>
      <c r="B32" s="20" t="s">
        <v>120</v>
      </c>
      <c r="C32" s="20" t="s">
        <v>121</v>
      </c>
      <c r="D32" s="21">
        <v>5000</v>
      </c>
      <c r="E32" s="21">
        <f>D32*0.75</f>
      </c>
      <c r="F32" s="21">
        <f>D32*0.25</f>
      </c>
      <c r="G32" s="22">
        <f>'تقييم يومي - الصيانة والخدمات'!AI6</f>
      </c>
      <c r="H32" s="23">
        <f>IF(G32&gt;=90,1,IF(G32&gt;=80,0.75,IF(G32&gt;=70,0.5,0)))</f>
      </c>
      <c r="I32" s="21">
        <f>F32*H32</f>
      </c>
      <c r="J32" s="24">
        <v>1</v>
      </c>
      <c r="K32" s="21">
        <f>ROUND((E32/30)*J32, 2)</f>
      </c>
      <c r="L32" s="24">
        <v>0</v>
      </c>
      <c r="M32" s="21">
        <f>ROUND((E32/30)*L32, 2)</f>
      </c>
      <c r="N32" s="21">
        <v>150</v>
      </c>
      <c r="O32" s="21">
        <f>K32+M32+N32</f>
      </c>
      <c r="P32" s="25">
        <f>E32+I32-O32</f>
      </c>
      <c r="Q32" s="24" t="s">
        <v>138</v>
      </c>
    </row>
    <row r="33" ht="23" customHeight="1" spans="1:17" x14ac:dyDescent="0.25">
      <c r="A33" s="26" t="s">
        <v>122</v>
      </c>
      <c r="B33" s="26" t="s">
        <v>123</v>
      </c>
      <c r="C33" s="26" t="s">
        <v>124</v>
      </c>
      <c r="D33" s="27">
        <v>4800</v>
      </c>
      <c r="E33" s="27">
        <f>D33*0.75</f>
      </c>
      <c r="F33" s="27">
        <f>D33*0.25</f>
      </c>
      <c r="G33" s="22">
        <f>'تقييم يومي - الصيانة والخدمات'!AI7</f>
      </c>
      <c r="H33" s="28">
        <f>IF(G33&gt;=90,1,IF(G33&gt;=80,0.75,IF(G33&gt;=70,0.5,0)))</f>
      </c>
      <c r="I33" s="27">
        <f>F33*H33</f>
      </c>
      <c r="J33" s="29">
        <v>0</v>
      </c>
      <c r="K33" s="27">
        <f>ROUND((E33/30)*J33, 2)</f>
      </c>
      <c r="L33" s="29">
        <v>0</v>
      </c>
      <c r="M33" s="27">
        <f>ROUND((E33/30)*L33, 2)</f>
      </c>
      <c r="N33" s="27">
        <v>0</v>
      </c>
      <c r="O33" s="27">
        <f>K33+M33+N33</f>
      </c>
      <c r="P33" s="25">
        <f>E33+I33-O33</f>
      </c>
      <c r="Q33" s="29" t="s">
        <v>138</v>
      </c>
    </row>
    <row r="34" ht="28" customHeight="1" spans="1:17" x14ac:dyDescent="0.25">
      <c r="A34" s="30" t="s">
        <v>158</v>
      </c>
      <c r="B34" s="30" t="s">
        <v>159</v>
      </c>
      <c r="C34" s="30" t="s">
        <v>160</v>
      </c>
      <c r="D34" s="31">
        <f>SUM(D4:D33)</f>
      </c>
      <c r="E34" s="31">
        <f>SUM(E4:E33)</f>
      </c>
      <c r="F34" s="31">
        <f>SUM(F4:F33)</f>
      </c>
      <c r="G34" s="30">
        <f>AVERAGE(G4:G33)</f>
      </c>
      <c r="H34" s="30" t="s">
        <v>160</v>
      </c>
      <c r="I34" s="31">
        <f>SUM(I4:I33)</f>
      </c>
      <c r="J34" s="30">
        <f>SUM(J4:J33)</f>
      </c>
      <c r="K34" s="31">
        <f>SUM(K4:K33)</f>
      </c>
      <c r="L34" s="30">
        <f>SUM(L4:L33)</f>
      </c>
      <c r="M34" s="31">
        <f>SUM(M4:M33)</f>
      </c>
      <c r="N34" s="31">
        <f>SUM(N4:N33)</f>
      </c>
      <c r="O34" s="31">
        <f>SUM(O4:O33)</f>
      </c>
      <c r="P34" s="31">
        <f>SUM(P4:P33)</f>
      </c>
      <c r="Q34" s="30" t="s">
        <v>160</v>
      </c>
    </row>
  </sheetData>
  <mergeCells count="1">
    <mergeCell ref="A1:Q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rightToLeft="1"/>
  </sheetViews>
  <sheetFormatPr defaultRowHeight="15" outlineLevelRow="0" outlineLevelCol="0" x14ac:dyDescent="55"/>
  <cols>
    <col min="1" max="1" width="35" customWidth="1"/>
    <col min="2" max="2" width="85" customWidth="1"/>
  </cols>
  <sheetData>
    <row r="1" spans="1:5" x14ac:dyDescent="0.25">
      <c r="A1" s="32" t="s">
        <v>161</v>
      </c>
      <c r="B1" s="32"/>
      <c r="C1" s="32"/>
      <c r="D1" s="32"/>
      <c r="E1" s="32"/>
    </row>
    <row r="3" ht="36" customHeight="1" spans="1:2" x14ac:dyDescent="0.25">
      <c r="A3" s="33" t="s">
        <v>162</v>
      </c>
      <c r="B3" s="34" t="s">
        <v>163</v>
      </c>
    </row>
    <row r="4" ht="36" customHeight="1" spans="1:2" x14ac:dyDescent="0.25">
      <c r="A4" s="33" t="s">
        <v>164</v>
      </c>
      <c r="B4" s="34" t="s">
        <v>165</v>
      </c>
    </row>
    <row r="5" ht="36" customHeight="1" spans="1:2" x14ac:dyDescent="0.25">
      <c r="A5" s="33" t="s">
        <v>166</v>
      </c>
      <c r="B5" s="34" t="s">
        <v>167</v>
      </c>
    </row>
    <row r="6" ht="36" customHeight="1" spans="1:2" x14ac:dyDescent="0.25">
      <c r="A6" s="33" t="s">
        <v>168</v>
      </c>
      <c r="B6" s="34" t="s">
        <v>169</v>
      </c>
    </row>
    <row r="7" ht="36" customHeight="1" spans="1:2" x14ac:dyDescent="0.25">
      <c r="A7" s="33" t="s">
        <v>170</v>
      </c>
      <c r="B7" s="34" t="s">
        <v>171</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تقييم يومي - الاستقبال</vt:lpstr>
      <vt:lpstr>تقييم يومي - الإشراف والغرف</vt:lpstr>
      <vt:lpstr>تقييم يومي - المطعم والخدمة</vt:lpstr>
      <vt:lpstr>تقييم يومي - الصيانة والخدمات</vt:lpstr>
      <vt:lpstr>استمارة تقييم يومية مطبوعة</vt:lpstr>
      <vt:lpstr>كشف الرواتب والتقييم الشهري</vt:lpstr>
      <vt:lpstr>دليل وشروط حساب المرتبات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Accounting &amp; HR System</dc:creator>
  <dc:title/>
  <dc:subject/>
  <dc:description/>
  <cp:keywords/>
  <cp:category/>
  <cp:lastModifiedBy>Unknown</cp:lastModifiedBy>
  <dcterms:created xsi:type="dcterms:W3CDTF">2026-08-15T11:14:36Z</dcterms:created>
  <dcterms:modified xsi:type="dcterms:W3CDTF">2026-08-15T11:14:36Z</dcterms:modified>
</cp:coreProperties>
</file>