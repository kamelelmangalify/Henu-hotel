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الة الغرف الحالية" state="visible" r:id="rId4"/>
    <sheet sheetId="2" name="سجل الحجوزات الكامل" state="visible" r:id="rId5"/>
    <sheet sheetId="3" name="توزيع الـ 25 غرفة المعتمد" state="visible" r:id="rId6"/>
  </sheets>
  <calcPr calcId="171027"/>
</workbook>
</file>

<file path=xl/sharedStrings.xml><?xml version="1.0" encoding="utf-8"?>
<sst xmlns="http://schemas.openxmlformats.org/spreadsheetml/2006/main" count="499" uniqueCount="187">
  <si>
    <t>🏨 نظام حجز وإدارة غرف فندق هينو (Henu Hotel) - إجمالي 25 غرفة</t>
  </si>
  <si>
    <t>تاريخ التقرير: الاثنين، ٢٤ أغسطس ٢٠٢٦ | التوزيع حسب الأدوار والأنواع</t>
  </si>
  <si>
    <t>إجمالي الغرف</t>
  </si>
  <si>
    <t>الغرف المشغولة</t>
  </si>
  <si>
    <t>الغرف المتاحة</t>
  </si>
  <si>
    <t>نسبة الإشغال الحالية</t>
  </si>
  <si>
    <t>إجمالي الإيرادات المحصلة (ج.م)</t>
  </si>
  <si>
    <t>م</t>
  </si>
  <si>
    <t>رقم الغرفة</t>
  </si>
  <si>
    <t>الدور</t>
  </si>
  <si>
    <t>نوع الغرفة</t>
  </si>
  <si>
    <t>حالة الغرفة</t>
  </si>
  <si>
    <t>سعر الليلة (ج.م)</t>
  </si>
  <si>
    <t>اسم النزيل الحالي</t>
  </si>
  <si>
    <t>رقم الهاتف</t>
  </si>
  <si>
    <t>تاريخ الوصول</t>
  </si>
  <si>
    <t>تاريخ المغادرة</t>
  </si>
  <si>
    <t>المبلغ المسدد (ج.م)</t>
  </si>
  <si>
    <t>ملاحظات</t>
  </si>
  <si>
    <t>📍 الدور الأول</t>
  </si>
  <si>
    <t>101</t>
  </si>
  <si>
    <t>الدور الأول</t>
  </si>
  <si>
    <t>دابل شبك</t>
  </si>
  <si>
    <t>متاحة</t>
  </si>
  <si>
    <t>-</t>
  </si>
  <si>
    <t>شباك شبك</t>
  </si>
  <si>
    <t>102</t>
  </si>
  <si>
    <t>سرير كينج</t>
  </si>
  <si>
    <t>مشغولة</t>
  </si>
  <si>
    <t>أحمد محمود العبد</t>
  </si>
  <si>
    <t>01012345678</t>
  </si>
  <si>
    <t>2026-08-20</t>
  </si>
  <si>
    <t>2026-08-25</t>
  </si>
  <si>
    <t>سرير كينج مريح</t>
  </si>
  <si>
    <t>103</t>
  </si>
  <si>
    <t>سويت</t>
  </si>
  <si>
    <t>د. طارق علي السيد</t>
  </si>
  <si>
    <t>01122334455</t>
  </si>
  <si>
    <t>2026-08-22</t>
  </si>
  <si>
    <t>2026-08-27</t>
  </si>
  <si>
    <t>سويت عائلي فاخر</t>
  </si>
  <si>
    <t>104</t>
  </si>
  <si>
    <t>كينج شبك</t>
  </si>
  <si>
    <t>📍 الدور الثاني</t>
  </si>
  <si>
    <t>201</t>
  </si>
  <si>
    <t>الدور الثاني</t>
  </si>
  <si>
    <t>سنجل بلكونة</t>
  </si>
  <si>
    <t>بلكونة خارجية</t>
  </si>
  <si>
    <t>202</t>
  </si>
  <si>
    <t>دابل بلكونة</t>
  </si>
  <si>
    <t>جون سميث (John Smith)</t>
  </si>
  <si>
    <t>+447911123456</t>
  </si>
  <si>
    <t>2026-08-21</t>
  </si>
  <si>
    <t>2026-08-26</t>
  </si>
  <si>
    <t>سائح إنجليزي</t>
  </si>
  <si>
    <t>203</t>
  </si>
  <si>
    <t>دابل</t>
  </si>
  <si>
    <t>تحت التنظيف</t>
  </si>
  <si>
    <t>تجهيز مفروشات</t>
  </si>
  <si>
    <t>204</t>
  </si>
  <si>
    <t>سارة إبراهيم الشريف</t>
  </si>
  <si>
    <t>01299887766</t>
  </si>
  <si>
    <t>2026-08-23</t>
  </si>
  <si>
    <t>2026-08-28</t>
  </si>
  <si>
    <t>حجز مؤكد</t>
  </si>
  <si>
    <t>205</t>
  </si>
  <si>
    <t>صيانة</t>
  </si>
  <si>
    <t>فحص التكييف</t>
  </si>
  <si>
    <t>206</t>
  </si>
  <si>
    <t>ترابل شبك جانبي</t>
  </si>
  <si>
    <t>غرفة عائلية 3 سراير</t>
  </si>
  <si>
    <t>207</t>
  </si>
  <si>
    <t>دابل شبك جانبي</t>
  </si>
  <si>
    <t>إطلالة جانبية</t>
  </si>
  <si>
    <t>📍 الدور الثالث</t>
  </si>
  <si>
    <t>301</t>
  </si>
  <si>
    <t>الدور الثالث</t>
  </si>
  <si>
    <t>بلكونة دور ثالث</t>
  </si>
  <si>
    <t>302</t>
  </si>
  <si>
    <t>م. خالد عبد الرحمن</t>
  </si>
  <si>
    <t>01005544332</t>
  </si>
  <si>
    <t>حجز أسبوع</t>
  </si>
  <si>
    <t>303</t>
  </si>
  <si>
    <t>جاهزة للتسكين</t>
  </si>
  <si>
    <t>304</t>
  </si>
  <si>
    <t>أليكسيس دوفال (Alexis Duval)</t>
  </si>
  <si>
    <t>+33612345678</t>
  </si>
  <si>
    <t>2026-08-29</t>
  </si>
  <si>
    <t>سياحة فرنسية</t>
  </si>
  <si>
    <t>305</t>
  </si>
  <si>
    <t>كينج واسعة</t>
  </si>
  <si>
    <t>306</t>
  </si>
  <si>
    <t>كنيج بلكونة جانبي</t>
  </si>
  <si>
    <t>بلكونة جانبية</t>
  </si>
  <si>
    <t>307</t>
  </si>
  <si>
    <t>دبل شبك جانبي</t>
  </si>
  <si>
    <t>شبك جانبي</t>
  </si>
  <si>
    <t>📍 الدور الرابع</t>
  </si>
  <si>
    <t>401</t>
  </si>
  <si>
    <t>الدور الرابع</t>
  </si>
  <si>
    <t>إطلالة علوية</t>
  </si>
  <si>
    <t>402</t>
  </si>
  <si>
    <t>بلكونة روف</t>
  </si>
  <si>
    <t>403</t>
  </si>
  <si>
    <t>عمر الفاروق الباز</t>
  </si>
  <si>
    <t>01111223344</t>
  </si>
  <si>
    <t>2026-08-19</t>
  </si>
  <si>
    <t>إطلالة مميزة</t>
  </si>
  <si>
    <t>404</t>
  </si>
  <si>
    <t>ماريا كوستاس (Maria)</t>
  </si>
  <si>
    <t>+30691234567</t>
  </si>
  <si>
    <t>سائحة يونانية</t>
  </si>
  <si>
    <t>405</t>
  </si>
  <si>
    <t>دابل روف</t>
  </si>
  <si>
    <t>406</t>
  </si>
  <si>
    <t>صيانة سباكة</t>
  </si>
  <si>
    <t>407</t>
  </si>
  <si>
    <t>الإجمالي العام لجميع الغرف (25 غرفة)</t>
  </si>
  <si>
    <t>إجمالي المحصل:</t>
  </si>
  <si>
    <t>نظام محدث تلقائياً</t>
  </si>
  <si>
    <t>📋 سجل الحجوزات والنزلاء التفصيلي (Bookings &amp; Guest Ledger)</t>
  </si>
  <si>
    <t>رقم الحجز</t>
  </si>
  <si>
    <t>اسم النزيل</t>
  </si>
  <si>
    <t>رقم الهاتف / الهوية</t>
  </si>
  <si>
    <t>تاريخ الدخول</t>
  </si>
  <si>
    <t>تاريخ الخروج</t>
  </si>
  <si>
    <t>عدد الليالي</t>
  </si>
  <si>
    <t>الإجمالي المطلوب (ج.م)</t>
  </si>
  <si>
    <t>المسدد (ج.م)</t>
  </si>
  <si>
    <t>المتبقي (ج.م)</t>
  </si>
  <si>
    <t>طريقة الدفع والحالة</t>
  </si>
  <si>
    <t>BK-2026-001</t>
  </si>
  <si>
    <t>فيزا - مدفوع كامل</t>
  </si>
  <si>
    <t>BK-2026-002</t>
  </si>
  <si>
    <t>تحويل بنكي - مدفوع كامل</t>
  </si>
  <si>
    <t>BK-2026-003</t>
  </si>
  <si>
    <t>بطاقة ائتمان دولية</t>
  </si>
  <si>
    <t>BK-2026-004</t>
  </si>
  <si>
    <t>نقدي (عربونا متبقي 3000)</t>
  </si>
  <si>
    <t>BK-2026-005</t>
  </si>
  <si>
    <t>فودافون كاش - مدفوع</t>
  </si>
  <si>
    <t>BK-2026-006</t>
  </si>
  <si>
    <t>أليكسيس دوفال (Alexis)</t>
  </si>
  <si>
    <t>Booking.com Online</t>
  </si>
  <si>
    <t>BK-2026-007</t>
  </si>
  <si>
    <t>نقدي - مسدد كامل</t>
  </si>
  <si>
    <t>BK-2026-008</t>
  </si>
  <si>
    <t>Expedia Online</t>
  </si>
  <si>
    <t>BK-2026-009</t>
  </si>
  <si>
    <t>BK-2026-010</t>
  </si>
  <si>
    <t>BK-2026-011</t>
  </si>
  <si>
    <t>BK-2026-012</t>
  </si>
  <si>
    <t>BK-2026-013</t>
  </si>
  <si>
    <t>BK-2026-014</t>
  </si>
  <si>
    <t>BK-2026-015</t>
  </si>
  <si>
    <t>BK-2026-016</t>
  </si>
  <si>
    <t>BK-2026-017</t>
  </si>
  <si>
    <t>BK-2026-018</t>
  </si>
  <si>
    <t>BK-2026-019</t>
  </si>
  <si>
    <t>BK-2026-020</t>
  </si>
  <si>
    <t>BK-2026-021</t>
  </si>
  <si>
    <t>BK-2026-022</t>
  </si>
  <si>
    <t>BK-2026-023</t>
  </si>
  <si>
    <t>BK-2026-024</t>
  </si>
  <si>
    <t>BK-2026-025</t>
  </si>
  <si>
    <t>BK-2026-026</t>
  </si>
  <si>
    <t>BK-2026-027</t>
  </si>
  <si>
    <t>BK-2026-028</t>
  </si>
  <si>
    <t>BK-2026-029</t>
  </si>
  <si>
    <t>BK-2026-030</t>
  </si>
  <si>
    <t>الإجمالي العام لجميع الحجوزات:</t>
  </si>
  <si>
    <t>حسابات مطابقة</t>
  </si>
  <si>
    <t>🏨 الدليل الرسمي المعتمد لتوزيع وتصنيف غرف الفندق (إجمالي 25 غرفة)</t>
  </si>
  <si>
    <t>الدور / الطابق</t>
  </si>
  <si>
    <t>نوع وتوصيف الغرفة</t>
  </si>
  <si>
    <t>مواصفات الأسرّة</t>
  </si>
  <si>
    <t>السعر الافتراضي لليلة (ج.م)</t>
  </si>
  <si>
    <t>موقع وإطلالة الغرفة</t>
  </si>
  <si>
    <t>🏢 الدور الأول</t>
  </si>
  <si>
    <t>1 سرير دابل</t>
  </si>
  <si>
    <t>1 سرير كينج</t>
  </si>
  <si>
    <t>1 سرير كينج + صالة</t>
  </si>
  <si>
    <t>🏢 الدور الثاني</t>
  </si>
  <si>
    <t>1 سرير سنجل</t>
  </si>
  <si>
    <t>3 أسرّة فردي</t>
  </si>
  <si>
    <t>🏢 الدور الثالث</t>
  </si>
  <si>
    <t>🏢 الدور الرابع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</si>
</sst>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 &quot;ج.م&quot;"/>
    <numFmt numFmtId="166" formatCode="#,##0 &quot;ج.م&quot; (متوسط)"/>
  </numFmts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1"/>
      <name val="Segoe UI"/>
    </font>
    <font>
      <b/>
      <sz val="10"/>
      <name val="Segoe UI"/>
    </font>
    <font>
      <b/>
      <color rgb="FF1E293B"/>
      <sz val="18"/>
      <name val="Segoe UI"/>
    </font>
    <font>
      <b/>
      <color rgb="FFDC2626"/>
      <sz val="18"/>
      <name val="Segoe UI"/>
    </font>
    <font>
      <b/>
      <color rgb="FF16A34A"/>
      <sz val="18"/>
      <name val="Segoe UI"/>
    </font>
    <font>
      <b/>
      <color rgb="FFD97706"/>
      <sz val="18"/>
      <name val="Segoe UI"/>
    </font>
    <font>
      <b/>
      <color rgb="FF2563EB"/>
      <sz val="18"/>
      <name val="Segoe U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b/>
      <color rgb="FF991B1B"/>
      <sz val="10"/>
      <name val="Segoe UI"/>
    </font>
    <font>
      <b/>
      <color rgb="FF92400E"/>
      <sz val="10"/>
      <name val="Segoe UI"/>
    </font>
    <font>
      <b/>
      <color rgb="FF475569"/>
      <sz val="10"/>
      <name val="Segoe UI"/>
    </font>
    <font>
      <b/>
      <color rgb="FF166534"/>
      <sz val="11"/>
      <name val="Segoe UI"/>
    </font>
    <font>
      <b/>
      <color rgb="FFFFFFFF"/>
      <sz val="1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right" vertical="center" inden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 indent="1"/>
    </xf>
    <xf numFmtId="0" fontId="11" fillId="5" borderId="1" xfId="0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0" fontId="16" fillId="10" borderId="0" xfId="0" applyFont="1" applyFill="1" applyAlignment="1">
      <alignment horizontal="center" vertical="center"/>
    </xf>
    <xf numFmtId="3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65" fontId="3" fillId="7" borderId="1" xfId="0" applyNumberFormat="1" applyFont="1" applyFill="1" applyBorder="1"/>
    <xf numFmtId="165" fontId="3" fillId="5" borderId="1" xfId="0" applyNumberFormat="1" applyFont="1" applyFill="1" applyBorder="1"/>
    <xf numFmtId="165" fontId="3" fillId="4" borderId="1" xfId="0" applyNumberFormat="1" applyFont="1" applyFill="1" applyBorder="1"/>
    <xf numFmtId="0" fontId="16" fillId="2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14" customWidth="1"/>
    <col min="3" max="3" width="16" customWidth="1"/>
    <col min="4" max="4" width="22" customWidth="1"/>
    <col min="5" max="5" width="15" customWidth="1"/>
    <col min="6" max="6" width="18" customWidth="1"/>
    <col min="7" max="7" width="28" customWidth="1"/>
    <col min="8" max="8" width="18" customWidth="1"/>
    <col min="9" max="10" width="15" customWidth="1"/>
    <col min="11" max="11" width="20" customWidth="1"/>
    <col min="12" max="12" width="30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5" customHeight="1" spans="2:12" x14ac:dyDescent="0.25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  <c r="J4" s="7" t="s">
        <v>6</v>
      </c>
      <c r="K4" s="7"/>
      <c r="L4" s="7"/>
    </row>
    <row r="5" ht="25" customHeight="1" spans="2:12" x14ac:dyDescent="0.25">
      <c r="B5" s="8">
        <v>25</v>
      </c>
      <c r="C5" s="8"/>
      <c r="D5" s="9">
        <f>COUNTIF(E8:E35, "مشغولة")</f>
      </c>
      <c r="E5" s="9"/>
      <c r="F5" s="10">
        <f>COUNTIF(E8:E35, "متاحة")</f>
      </c>
      <c r="G5" s="10"/>
      <c r="H5" s="11">
        <f>D5/B5</f>
      </c>
      <c r="I5" s="11"/>
      <c r="J5" s="12">
        <f>SUM(K8:K35)</f>
      </c>
      <c r="K5" s="12"/>
      <c r="L5" s="12"/>
    </row>
    <row r="7" ht="30" customHeight="1" spans="1:12" x14ac:dyDescent="0.25">
      <c r="A7" s="13" t="s">
        <v>7</v>
      </c>
      <c r="B7" s="13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3" t="s">
        <v>13</v>
      </c>
      <c r="H7" s="13" t="s">
        <v>14</v>
      </c>
      <c r="I7" s="13" t="s">
        <v>15</v>
      </c>
      <c r="J7" s="13" t="s">
        <v>16</v>
      </c>
      <c r="K7" s="13" t="s">
        <v>17</v>
      </c>
      <c r="L7" s="13" t="s">
        <v>18</v>
      </c>
    </row>
    <row r="8" ht="24" customHeight="1" spans="1:12" x14ac:dyDescent="0.25">
      <c r="A8" s="14" t="s">
        <v>19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ht="22" customHeight="1" spans="1:12" x14ac:dyDescent="0.25">
      <c r="A9" s="15">
        <v>1</v>
      </c>
      <c r="B9" s="15" t="s">
        <v>20</v>
      </c>
      <c r="C9" s="15" t="s">
        <v>21</v>
      </c>
      <c r="D9" s="16" t="s">
        <v>22</v>
      </c>
      <c r="E9" s="17" t="s">
        <v>23</v>
      </c>
      <c r="F9" s="18">
        <v>1200</v>
      </c>
      <c r="G9" s="16" t="s">
        <v>24</v>
      </c>
      <c r="H9" s="15" t="s">
        <v>24</v>
      </c>
      <c r="I9" s="15" t="s">
        <v>24</v>
      </c>
      <c r="J9" s="15" t="s">
        <v>24</v>
      </c>
      <c r="K9" s="18">
        <v>0</v>
      </c>
      <c r="L9" s="16" t="s">
        <v>25</v>
      </c>
    </row>
    <row r="10" ht="22" customHeight="1" spans="1:12" x14ac:dyDescent="0.25">
      <c r="A10" s="15">
        <v>2</v>
      </c>
      <c r="B10" s="15" t="s">
        <v>26</v>
      </c>
      <c r="C10" s="15" t="s">
        <v>21</v>
      </c>
      <c r="D10" s="16" t="s">
        <v>27</v>
      </c>
      <c r="E10" s="19" t="s">
        <v>28</v>
      </c>
      <c r="F10" s="18">
        <v>1400</v>
      </c>
      <c r="G10" s="16" t="s">
        <v>29</v>
      </c>
      <c r="H10" s="15" t="s">
        <v>30</v>
      </c>
      <c r="I10" s="15" t="s">
        <v>31</v>
      </c>
      <c r="J10" s="15" t="s">
        <v>32</v>
      </c>
      <c r="K10" s="18">
        <v>7000</v>
      </c>
      <c r="L10" s="16" t="s">
        <v>33</v>
      </c>
    </row>
    <row r="11" ht="22" customHeight="1" spans="1:12" x14ac:dyDescent="0.25">
      <c r="A11" s="15">
        <v>3</v>
      </c>
      <c r="B11" s="15" t="s">
        <v>34</v>
      </c>
      <c r="C11" s="15" t="s">
        <v>21</v>
      </c>
      <c r="D11" s="16" t="s">
        <v>35</v>
      </c>
      <c r="E11" s="19" t="s">
        <v>28</v>
      </c>
      <c r="F11" s="18">
        <v>2500</v>
      </c>
      <c r="G11" s="16" t="s">
        <v>36</v>
      </c>
      <c r="H11" s="15" t="s">
        <v>37</v>
      </c>
      <c r="I11" s="15" t="s">
        <v>38</v>
      </c>
      <c r="J11" s="15" t="s">
        <v>39</v>
      </c>
      <c r="K11" s="18">
        <v>12500</v>
      </c>
      <c r="L11" s="16" t="s">
        <v>40</v>
      </c>
    </row>
    <row r="12" ht="22" customHeight="1" spans="1:12" x14ac:dyDescent="0.25">
      <c r="A12" s="15">
        <v>4</v>
      </c>
      <c r="B12" s="15" t="s">
        <v>41</v>
      </c>
      <c r="C12" s="15" t="s">
        <v>21</v>
      </c>
      <c r="D12" s="16" t="s">
        <v>42</v>
      </c>
      <c r="E12" s="17" t="s">
        <v>23</v>
      </c>
      <c r="F12" s="18">
        <v>1500</v>
      </c>
      <c r="G12" s="16" t="s">
        <v>24</v>
      </c>
      <c r="H12" s="15" t="s">
        <v>24</v>
      </c>
      <c r="I12" s="15" t="s">
        <v>24</v>
      </c>
      <c r="J12" s="15" t="s">
        <v>24</v>
      </c>
      <c r="K12" s="18">
        <v>0</v>
      </c>
      <c r="L12" s="16" t="s">
        <v>42</v>
      </c>
    </row>
    <row r="13" ht="24" customHeight="1" spans="1:12" x14ac:dyDescent="0.25">
      <c r="A13" s="14" t="s">
        <v>43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ht="22" customHeight="1" spans="1:12" x14ac:dyDescent="0.25">
      <c r="A14" s="15">
        <v>5</v>
      </c>
      <c r="B14" s="15" t="s">
        <v>44</v>
      </c>
      <c r="C14" s="15" t="s">
        <v>45</v>
      </c>
      <c r="D14" s="16" t="s">
        <v>46</v>
      </c>
      <c r="E14" s="17" t="s">
        <v>23</v>
      </c>
      <c r="F14" s="18">
        <v>900</v>
      </c>
      <c r="G14" s="16" t="s">
        <v>24</v>
      </c>
      <c r="H14" s="15" t="s">
        <v>24</v>
      </c>
      <c r="I14" s="15" t="s">
        <v>24</v>
      </c>
      <c r="J14" s="15" t="s">
        <v>24</v>
      </c>
      <c r="K14" s="18">
        <v>0</v>
      </c>
      <c r="L14" s="16" t="s">
        <v>47</v>
      </c>
    </row>
    <row r="15" ht="22" customHeight="1" spans="1:12" x14ac:dyDescent="0.25">
      <c r="A15" s="15">
        <v>6</v>
      </c>
      <c r="B15" s="15" t="s">
        <v>48</v>
      </c>
      <c r="C15" s="15" t="s">
        <v>45</v>
      </c>
      <c r="D15" s="16" t="s">
        <v>49</v>
      </c>
      <c r="E15" s="19" t="s">
        <v>28</v>
      </c>
      <c r="F15" s="18">
        <v>1300</v>
      </c>
      <c r="G15" s="16" t="s">
        <v>50</v>
      </c>
      <c r="H15" s="15" t="s">
        <v>51</v>
      </c>
      <c r="I15" s="15" t="s">
        <v>52</v>
      </c>
      <c r="J15" s="15" t="s">
        <v>53</v>
      </c>
      <c r="K15" s="18">
        <v>6500</v>
      </c>
      <c r="L15" s="16" t="s">
        <v>54</v>
      </c>
    </row>
    <row r="16" ht="22" customHeight="1" spans="1:12" x14ac:dyDescent="0.25">
      <c r="A16" s="15">
        <v>7</v>
      </c>
      <c r="B16" s="15" t="s">
        <v>55</v>
      </c>
      <c r="C16" s="15" t="s">
        <v>45</v>
      </c>
      <c r="D16" s="16" t="s">
        <v>56</v>
      </c>
      <c r="E16" s="20" t="s">
        <v>57</v>
      </c>
      <c r="F16" s="18">
        <v>1200</v>
      </c>
      <c r="G16" s="16" t="s">
        <v>24</v>
      </c>
      <c r="H16" s="15" t="s">
        <v>24</v>
      </c>
      <c r="I16" s="15" t="s">
        <v>24</v>
      </c>
      <c r="J16" s="15" t="s">
        <v>24</v>
      </c>
      <c r="K16" s="18">
        <v>0</v>
      </c>
      <c r="L16" s="16" t="s">
        <v>58</v>
      </c>
    </row>
    <row r="17" ht="22" customHeight="1" spans="1:12" x14ac:dyDescent="0.25">
      <c r="A17" s="15">
        <v>8</v>
      </c>
      <c r="B17" s="15" t="s">
        <v>59</v>
      </c>
      <c r="C17" s="15" t="s">
        <v>45</v>
      </c>
      <c r="D17" s="16" t="s">
        <v>27</v>
      </c>
      <c r="E17" s="19" t="s">
        <v>28</v>
      </c>
      <c r="F17" s="18">
        <v>1500</v>
      </c>
      <c r="G17" s="16" t="s">
        <v>60</v>
      </c>
      <c r="H17" s="15" t="s">
        <v>61</v>
      </c>
      <c r="I17" s="15" t="s">
        <v>62</v>
      </c>
      <c r="J17" s="15" t="s">
        <v>63</v>
      </c>
      <c r="K17" s="18">
        <v>7500</v>
      </c>
      <c r="L17" s="16" t="s">
        <v>64</v>
      </c>
    </row>
    <row r="18" ht="22" customHeight="1" spans="1:12" x14ac:dyDescent="0.25">
      <c r="A18" s="15">
        <v>9</v>
      </c>
      <c r="B18" s="15" t="s">
        <v>65</v>
      </c>
      <c r="C18" s="15" t="s">
        <v>45</v>
      </c>
      <c r="D18" s="16" t="s">
        <v>56</v>
      </c>
      <c r="E18" s="21" t="s">
        <v>66</v>
      </c>
      <c r="F18" s="18">
        <v>1200</v>
      </c>
      <c r="G18" s="16" t="s">
        <v>24</v>
      </c>
      <c r="H18" s="15" t="s">
        <v>24</v>
      </c>
      <c r="I18" s="15" t="s">
        <v>24</v>
      </c>
      <c r="J18" s="15" t="s">
        <v>24</v>
      </c>
      <c r="K18" s="18">
        <v>0</v>
      </c>
      <c r="L18" s="16" t="s">
        <v>67</v>
      </c>
    </row>
    <row r="19" ht="22" customHeight="1" spans="1:12" x14ac:dyDescent="0.25">
      <c r="A19" s="15">
        <v>10</v>
      </c>
      <c r="B19" s="15" t="s">
        <v>68</v>
      </c>
      <c r="C19" s="15" t="s">
        <v>45</v>
      </c>
      <c r="D19" s="16" t="s">
        <v>69</v>
      </c>
      <c r="E19" s="17" t="s">
        <v>23</v>
      </c>
      <c r="F19" s="18">
        <v>1800</v>
      </c>
      <c r="G19" s="16" t="s">
        <v>24</v>
      </c>
      <c r="H19" s="15" t="s">
        <v>24</v>
      </c>
      <c r="I19" s="15" t="s">
        <v>24</v>
      </c>
      <c r="J19" s="15" t="s">
        <v>24</v>
      </c>
      <c r="K19" s="18">
        <v>0</v>
      </c>
      <c r="L19" s="16" t="s">
        <v>70</v>
      </c>
    </row>
    <row r="20" ht="22" customHeight="1" spans="1:12" x14ac:dyDescent="0.25">
      <c r="A20" s="15">
        <v>11</v>
      </c>
      <c r="B20" s="15" t="s">
        <v>71</v>
      </c>
      <c r="C20" s="15" t="s">
        <v>45</v>
      </c>
      <c r="D20" s="16" t="s">
        <v>72</v>
      </c>
      <c r="E20" s="17" t="s">
        <v>23</v>
      </c>
      <c r="F20" s="18">
        <v>1250</v>
      </c>
      <c r="G20" s="16" t="s">
        <v>24</v>
      </c>
      <c r="H20" s="15" t="s">
        <v>24</v>
      </c>
      <c r="I20" s="15" t="s">
        <v>24</v>
      </c>
      <c r="J20" s="15" t="s">
        <v>24</v>
      </c>
      <c r="K20" s="18">
        <v>0</v>
      </c>
      <c r="L20" s="16" t="s">
        <v>73</v>
      </c>
    </row>
    <row r="21" ht="24" customHeight="1" spans="1:12" x14ac:dyDescent="0.25">
      <c r="A21" s="14" t="s">
        <v>74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22" customHeight="1" spans="1:12" x14ac:dyDescent="0.25">
      <c r="A22" s="15">
        <v>12</v>
      </c>
      <c r="B22" s="15" t="s">
        <v>75</v>
      </c>
      <c r="C22" s="15" t="s">
        <v>76</v>
      </c>
      <c r="D22" s="16" t="s">
        <v>46</v>
      </c>
      <c r="E22" s="17" t="s">
        <v>23</v>
      </c>
      <c r="F22" s="18">
        <v>950</v>
      </c>
      <c r="G22" s="16" t="s">
        <v>24</v>
      </c>
      <c r="H22" s="15" t="s">
        <v>24</v>
      </c>
      <c r="I22" s="15" t="s">
        <v>24</v>
      </c>
      <c r="J22" s="15" t="s">
        <v>24</v>
      </c>
      <c r="K22" s="18">
        <v>0</v>
      </c>
      <c r="L22" s="16" t="s">
        <v>77</v>
      </c>
    </row>
    <row r="23" ht="22" customHeight="1" spans="1:12" x14ac:dyDescent="0.25">
      <c r="A23" s="15">
        <v>13</v>
      </c>
      <c r="B23" s="15" t="s">
        <v>78</v>
      </c>
      <c r="C23" s="15" t="s">
        <v>76</v>
      </c>
      <c r="D23" s="16" t="s">
        <v>49</v>
      </c>
      <c r="E23" s="19" t="s">
        <v>28</v>
      </c>
      <c r="F23" s="18">
        <v>1350</v>
      </c>
      <c r="G23" s="16" t="s">
        <v>79</v>
      </c>
      <c r="H23" s="15" t="s">
        <v>80</v>
      </c>
      <c r="I23" s="15" t="s">
        <v>31</v>
      </c>
      <c r="J23" s="15" t="s">
        <v>53</v>
      </c>
      <c r="K23" s="18">
        <v>8100</v>
      </c>
      <c r="L23" s="16" t="s">
        <v>81</v>
      </c>
    </row>
    <row r="24" ht="22" customHeight="1" spans="1:12" x14ac:dyDescent="0.25">
      <c r="A24" s="15">
        <v>14</v>
      </c>
      <c r="B24" s="15" t="s">
        <v>82</v>
      </c>
      <c r="C24" s="15" t="s">
        <v>76</v>
      </c>
      <c r="D24" s="16" t="s">
        <v>27</v>
      </c>
      <c r="E24" s="17" t="s">
        <v>23</v>
      </c>
      <c r="F24" s="18">
        <v>1550</v>
      </c>
      <c r="G24" s="16" t="s">
        <v>24</v>
      </c>
      <c r="H24" s="15" t="s">
        <v>24</v>
      </c>
      <c r="I24" s="15" t="s">
        <v>24</v>
      </c>
      <c r="J24" s="15" t="s">
        <v>24</v>
      </c>
      <c r="K24" s="18">
        <v>0</v>
      </c>
      <c r="L24" s="16" t="s">
        <v>83</v>
      </c>
    </row>
    <row r="25" ht="22" customHeight="1" spans="1:12" x14ac:dyDescent="0.25">
      <c r="A25" s="15">
        <v>15</v>
      </c>
      <c r="B25" s="15" t="s">
        <v>84</v>
      </c>
      <c r="C25" s="15" t="s">
        <v>76</v>
      </c>
      <c r="D25" s="16" t="s">
        <v>27</v>
      </c>
      <c r="E25" s="19" t="s">
        <v>28</v>
      </c>
      <c r="F25" s="18">
        <v>1550</v>
      </c>
      <c r="G25" s="16" t="s">
        <v>85</v>
      </c>
      <c r="H25" s="15" t="s">
        <v>86</v>
      </c>
      <c r="I25" s="15" t="s">
        <v>38</v>
      </c>
      <c r="J25" s="15" t="s">
        <v>87</v>
      </c>
      <c r="K25" s="18">
        <v>10850</v>
      </c>
      <c r="L25" s="16" t="s">
        <v>88</v>
      </c>
    </row>
    <row r="26" ht="22" customHeight="1" spans="1:12" x14ac:dyDescent="0.25">
      <c r="A26" s="15">
        <v>16</v>
      </c>
      <c r="B26" s="15" t="s">
        <v>89</v>
      </c>
      <c r="C26" s="15" t="s">
        <v>76</v>
      </c>
      <c r="D26" s="16" t="s">
        <v>27</v>
      </c>
      <c r="E26" s="17" t="s">
        <v>23</v>
      </c>
      <c r="F26" s="18">
        <v>1550</v>
      </c>
      <c r="G26" s="16" t="s">
        <v>24</v>
      </c>
      <c r="H26" s="15" t="s">
        <v>24</v>
      </c>
      <c r="I26" s="15" t="s">
        <v>24</v>
      </c>
      <c r="J26" s="15" t="s">
        <v>24</v>
      </c>
      <c r="K26" s="18">
        <v>0</v>
      </c>
      <c r="L26" s="16" t="s">
        <v>90</v>
      </c>
    </row>
    <row r="27" ht="22" customHeight="1" spans="1:12" x14ac:dyDescent="0.25">
      <c r="A27" s="15">
        <v>17</v>
      </c>
      <c r="B27" s="15" t="s">
        <v>91</v>
      </c>
      <c r="C27" s="15" t="s">
        <v>76</v>
      </c>
      <c r="D27" s="16" t="s">
        <v>92</v>
      </c>
      <c r="E27" s="20" t="s">
        <v>57</v>
      </c>
      <c r="F27" s="18">
        <v>1650</v>
      </c>
      <c r="G27" s="16" t="s">
        <v>24</v>
      </c>
      <c r="H27" s="15" t="s">
        <v>24</v>
      </c>
      <c r="I27" s="15" t="s">
        <v>24</v>
      </c>
      <c r="J27" s="15" t="s">
        <v>24</v>
      </c>
      <c r="K27" s="18">
        <v>0</v>
      </c>
      <c r="L27" s="16" t="s">
        <v>93</v>
      </c>
    </row>
    <row r="28" ht="22" customHeight="1" spans="1:12" x14ac:dyDescent="0.25">
      <c r="A28" s="15">
        <v>18</v>
      </c>
      <c r="B28" s="15" t="s">
        <v>94</v>
      </c>
      <c r="C28" s="15" t="s">
        <v>76</v>
      </c>
      <c r="D28" s="16" t="s">
        <v>95</v>
      </c>
      <c r="E28" s="17" t="s">
        <v>23</v>
      </c>
      <c r="F28" s="18">
        <v>1300</v>
      </c>
      <c r="G28" s="16" t="s">
        <v>24</v>
      </c>
      <c r="H28" s="15" t="s">
        <v>24</v>
      </c>
      <c r="I28" s="15" t="s">
        <v>24</v>
      </c>
      <c r="J28" s="15" t="s">
        <v>24</v>
      </c>
      <c r="K28" s="18">
        <v>0</v>
      </c>
      <c r="L28" s="16" t="s">
        <v>96</v>
      </c>
    </row>
    <row r="29" ht="24" customHeight="1" spans="1:12" x14ac:dyDescent="0.25">
      <c r="A29" s="14" t="s">
        <v>97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ht="22" customHeight="1" spans="1:12" x14ac:dyDescent="0.25">
      <c r="A30" s="15">
        <v>19</v>
      </c>
      <c r="B30" s="15" t="s">
        <v>98</v>
      </c>
      <c r="C30" s="15" t="s">
        <v>99</v>
      </c>
      <c r="D30" s="16" t="s">
        <v>46</v>
      </c>
      <c r="E30" s="17" t="s">
        <v>23</v>
      </c>
      <c r="F30" s="18">
        <v>1000</v>
      </c>
      <c r="G30" s="16" t="s">
        <v>24</v>
      </c>
      <c r="H30" s="15" t="s">
        <v>24</v>
      </c>
      <c r="I30" s="15" t="s">
        <v>24</v>
      </c>
      <c r="J30" s="15" t="s">
        <v>24</v>
      </c>
      <c r="K30" s="18">
        <v>0</v>
      </c>
      <c r="L30" s="16" t="s">
        <v>100</v>
      </c>
    </row>
    <row r="31" ht="22" customHeight="1" spans="1:12" x14ac:dyDescent="0.25">
      <c r="A31" s="15">
        <v>20</v>
      </c>
      <c r="B31" s="15" t="s">
        <v>101</v>
      </c>
      <c r="C31" s="15" t="s">
        <v>99</v>
      </c>
      <c r="D31" s="16" t="s">
        <v>49</v>
      </c>
      <c r="E31" s="17" t="s">
        <v>23</v>
      </c>
      <c r="F31" s="18">
        <v>1400</v>
      </c>
      <c r="G31" s="16" t="s">
        <v>24</v>
      </c>
      <c r="H31" s="15" t="s">
        <v>24</v>
      </c>
      <c r="I31" s="15" t="s">
        <v>24</v>
      </c>
      <c r="J31" s="15" t="s">
        <v>24</v>
      </c>
      <c r="K31" s="18">
        <v>0</v>
      </c>
      <c r="L31" s="16" t="s">
        <v>102</v>
      </c>
    </row>
    <row r="32" ht="22" customHeight="1" spans="1:12" x14ac:dyDescent="0.25">
      <c r="A32" s="15">
        <v>21</v>
      </c>
      <c r="B32" s="15" t="s">
        <v>103</v>
      </c>
      <c r="C32" s="15" t="s">
        <v>99</v>
      </c>
      <c r="D32" s="16" t="s">
        <v>27</v>
      </c>
      <c r="E32" s="19" t="s">
        <v>28</v>
      </c>
      <c r="F32" s="18">
        <v>1900</v>
      </c>
      <c r="G32" s="16" t="s">
        <v>104</v>
      </c>
      <c r="H32" s="15" t="s">
        <v>105</v>
      </c>
      <c r="I32" s="15" t="s">
        <v>106</v>
      </c>
      <c r="J32" s="15" t="s">
        <v>32</v>
      </c>
      <c r="K32" s="18">
        <v>11400</v>
      </c>
      <c r="L32" s="16" t="s">
        <v>107</v>
      </c>
    </row>
    <row r="33" ht="22" customHeight="1" spans="1:12" x14ac:dyDescent="0.25">
      <c r="A33" s="15">
        <v>22</v>
      </c>
      <c r="B33" s="15" t="s">
        <v>108</v>
      </c>
      <c r="C33" s="15" t="s">
        <v>99</v>
      </c>
      <c r="D33" s="16" t="s">
        <v>27</v>
      </c>
      <c r="E33" s="19" t="s">
        <v>28</v>
      </c>
      <c r="F33" s="18">
        <v>1900</v>
      </c>
      <c r="G33" s="16" t="s">
        <v>109</v>
      </c>
      <c r="H33" s="15" t="s">
        <v>110</v>
      </c>
      <c r="I33" s="15" t="s">
        <v>52</v>
      </c>
      <c r="J33" s="15" t="s">
        <v>39</v>
      </c>
      <c r="K33" s="18">
        <v>11400</v>
      </c>
      <c r="L33" s="16" t="s">
        <v>111</v>
      </c>
    </row>
    <row r="34" ht="22" customHeight="1" spans="1:12" x14ac:dyDescent="0.25">
      <c r="A34" s="15">
        <v>23</v>
      </c>
      <c r="B34" s="15" t="s">
        <v>112</v>
      </c>
      <c r="C34" s="15" t="s">
        <v>99</v>
      </c>
      <c r="D34" s="16" t="s">
        <v>56</v>
      </c>
      <c r="E34" s="17" t="s">
        <v>23</v>
      </c>
      <c r="F34" s="18">
        <v>1350</v>
      </c>
      <c r="G34" s="16" t="s">
        <v>24</v>
      </c>
      <c r="H34" s="15" t="s">
        <v>24</v>
      </c>
      <c r="I34" s="15" t="s">
        <v>24</v>
      </c>
      <c r="J34" s="15" t="s">
        <v>24</v>
      </c>
      <c r="K34" s="18">
        <v>0</v>
      </c>
      <c r="L34" s="16" t="s">
        <v>113</v>
      </c>
    </row>
    <row r="35" ht="22" customHeight="1" spans="1:12" x14ac:dyDescent="0.25">
      <c r="A35" s="15">
        <v>24</v>
      </c>
      <c r="B35" s="15" t="s">
        <v>114</v>
      </c>
      <c r="C35" s="15" t="s">
        <v>99</v>
      </c>
      <c r="D35" s="16" t="s">
        <v>69</v>
      </c>
      <c r="E35" s="21" t="s">
        <v>66</v>
      </c>
      <c r="F35" s="18">
        <v>1900</v>
      </c>
      <c r="G35" s="16" t="s">
        <v>24</v>
      </c>
      <c r="H35" s="15" t="s">
        <v>24</v>
      </c>
      <c r="I35" s="15" t="s">
        <v>24</v>
      </c>
      <c r="J35" s="15" t="s">
        <v>24</v>
      </c>
      <c r="K35" s="18">
        <v>0</v>
      </c>
      <c r="L35" s="16" t="s">
        <v>115</v>
      </c>
    </row>
    <row r="36" ht="22" customHeight="1" spans="1:12" x14ac:dyDescent="0.25">
      <c r="A36" s="15">
        <v>25</v>
      </c>
      <c r="B36" s="15" t="s">
        <v>116</v>
      </c>
      <c r="C36" s="15" t="s">
        <v>99</v>
      </c>
      <c r="D36" s="16" t="s">
        <v>72</v>
      </c>
      <c r="E36" s="17" t="s">
        <v>23</v>
      </c>
      <c r="F36" s="18">
        <v>1350</v>
      </c>
      <c r="G36" s="16" t="s">
        <v>24</v>
      </c>
      <c r="H36" s="15" t="s">
        <v>24</v>
      </c>
      <c r="I36" s="15" t="s">
        <v>24</v>
      </c>
      <c r="J36" s="15" t="s">
        <v>24</v>
      </c>
      <c r="K36" s="18">
        <v>0</v>
      </c>
      <c r="L36" s="16" t="s">
        <v>96</v>
      </c>
    </row>
    <row r="37" ht="28" customHeight="1" spans="1:12" x14ac:dyDescent="0.25">
      <c r="A37" s="13" t="s">
        <v>117</v>
      </c>
      <c r="B37" s="13"/>
      <c r="C37" s="13"/>
      <c r="D37" s="13"/>
      <c r="E37" s="13"/>
      <c r="F37" s="22">
        <f>AVERAGE(F8:F36)</f>
      </c>
      <c r="G37" s="3" t="s">
        <v>118</v>
      </c>
      <c r="H37" s="3"/>
      <c r="I37" s="3"/>
      <c r="J37" s="3"/>
      <c r="K37" s="23">
        <f>SUM(K8:K36)</f>
      </c>
      <c r="L37" s="3" t="s">
        <v>119</v>
      </c>
    </row>
  </sheetData>
  <mergeCells count="18">
    <mergeCell ref="A1:L1"/>
    <mergeCell ref="A2:L2"/>
    <mergeCell ref="B4:C4"/>
    <mergeCell ref="D4:E4"/>
    <mergeCell ref="F4:G4"/>
    <mergeCell ref="H4:I4"/>
    <mergeCell ref="J4:L4"/>
    <mergeCell ref="B5:C5"/>
    <mergeCell ref="D5:E5"/>
    <mergeCell ref="F5:G5"/>
    <mergeCell ref="H5:I5"/>
    <mergeCell ref="J5:L5"/>
    <mergeCell ref="A8:L8"/>
    <mergeCell ref="A13:L13"/>
    <mergeCell ref="A21:L21"/>
    <mergeCell ref="A29:L29"/>
    <mergeCell ref="A37:E37"/>
    <mergeCell ref="G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12" customWidth="1"/>
    <col min="3" max="3" width="15" customWidth="1"/>
    <col min="4" max="4" width="20" customWidth="1"/>
    <col min="5" max="5" width="26" customWidth="1"/>
    <col min="6" max="6" width="20" customWidth="1"/>
    <col min="7" max="8" width="14" customWidth="1"/>
    <col min="9" max="9" width="12" customWidth="1"/>
    <col min="10" max="10" width="16" customWidth="1"/>
    <col min="11" max="11" width="20" customWidth="1"/>
    <col min="12" max="13" width="18" customWidth="1"/>
    <col min="14" max="14" width="26" customWidth="1"/>
  </cols>
  <sheetData>
    <row r="1" ht="36" customHeight="1" spans="1:14" x14ac:dyDescent="0.25">
      <c r="A1" s="24" t="s">
        <v>120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ht="28" customHeight="1" spans="1:14" x14ac:dyDescent="0.25">
      <c r="A3" s="13" t="s">
        <v>121</v>
      </c>
      <c r="B3" s="13" t="s">
        <v>8</v>
      </c>
      <c r="C3" s="13" t="s">
        <v>9</v>
      </c>
      <c r="D3" s="13" t="s">
        <v>10</v>
      </c>
      <c r="E3" s="13" t="s">
        <v>122</v>
      </c>
      <c r="F3" s="13" t="s">
        <v>123</v>
      </c>
      <c r="G3" s="13" t="s">
        <v>124</v>
      </c>
      <c r="H3" s="13" t="s">
        <v>125</v>
      </c>
      <c r="I3" s="13" t="s">
        <v>126</v>
      </c>
      <c r="J3" s="13" t="s">
        <v>12</v>
      </c>
      <c r="K3" s="13" t="s">
        <v>127</v>
      </c>
      <c r="L3" s="13" t="s">
        <v>128</v>
      </c>
      <c r="M3" s="13" t="s">
        <v>129</v>
      </c>
      <c r="N3" s="13" t="s">
        <v>130</v>
      </c>
    </row>
    <row r="4" ht="22" customHeight="1" spans="1:14" x14ac:dyDescent="0.25">
      <c r="A4" s="15" t="s">
        <v>131</v>
      </c>
      <c r="B4" s="15" t="s">
        <v>26</v>
      </c>
      <c r="C4" s="15" t="s">
        <v>21</v>
      </c>
      <c r="D4" s="16" t="s">
        <v>27</v>
      </c>
      <c r="E4" s="16" t="s">
        <v>29</v>
      </c>
      <c r="F4" s="16" t="s">
        <v>30</v>
      </c>
      <c r="G4" s="15" t="s">
        <v>31</v>
      </c>
      <c r="H4" s="15" t="s">
        <v>32</v>
      </c>
      <c r="I4" s="15">
        <v>5</v>
      </c>
      <c r="J4" s="25">
        <v>1400</v>
      </c>
      <c r="K4" s="18">
        <f>I4*J4</f>
      </c>
      <c r="L4" s="18">
        <v>7000</v>
      </c>
      <c r="M4" s="18">
        <f>K4-L4</f>
      </c>
      <c r="N4" s="16" t="s">
        <v>132</v>
      </c>
    </row>
    <row r="5" ht="22" customHeight="1" spans="1:14" x14ac:dyDescent="0.25">
      <c r="A5" s="15" t="s">
        <v>133</v>
      </c>
      <c r="B5" s="15" t="s">
        <v>34</v>
      </c>
      <c r="C5" s="15" t="s">
        <v>21</v>
      </c>
      <c r="D5" s="16" t="s">
        <v>35</v>
      </c>
      <c r="E5" s="16" t="s">
        <v>36</v>
      </c>
      <c r="F5" s="16" t="s">
        <v>37</v>
      </c>
      <c r="G5" s="15" t="s">
        <v>38</v>
      </c>
      <c r="H5" s="15" t="s">
        <v>39</v>
      </c>
      <c r="I5" s="15">
        <v>5</v>
      </c>
      <c r="J5" s="25">
        <v>2500</v>
      </c>
      <c r="K5" s="18">
        <f>I5*J5</f>
      </c>
      <c r="L5" s="18">
        <v>12500</v>
      </c>
      <c r="M5" s="18">
        <f>K5-L5</f>
      </c>
      <c r="N5" s="16" t="s">
        <v>134</v>
      </c>
    </row>
    <row r="6" ht="22" customHeight="1" spans="1:14" x14ac:dyDescent="0.25">
      <c r="A6" s="15" t="s">
        <v>135</v>
      </c>
      <c r="B6" s="15" t="s">
        <v>48</v>
      </c>
      <c r="C6" s="15" t="s">
        <v>45</v>
      </c>
      <c r="D6" s="16" t="s">
        <v>49</v>
      </c>
      <c r="E6" s="16" t="s">
        <v>50</v>
      </c>
      <c r="F6" s="16" t="s">
        <v>51</v>
      </c>
      <c r="G6" s="15" t="s">
        <v>52</v>
      </c>
      <c r="H6" s="15" t="s">
        <v>53</v>
      </c>
      <c r="I6" s="15">
        <v>5</v>
      </c>
      <c r="J6" s="25">
        <v>1300</v>
      </c>
      <c r="K6" s="18">
        <f>I6*J6</f>
      </c>
      <c r="L6" s="18">
        <v>6500</v>
      </c>
      <c r="M6" s="18">
        <f>K6-L6</f>
      </c>
      <c r="N6" s="16" t="s">
        <v>136</v>
      </c>
    </row>
    <row r="7" ht="22" customHeight="1" spans="1:14" x14ac:dyDescent="0.25">
      <c r="A7" s="15" t="s">
        <v>137</v>
      </c>
      <c r="B7" s="15" t="s">
        <v>59</v>
      </c>
      <c r="C7" s="15" t="s">
        <v>45</v>
      </c>
      <c r="D7" s="16" t="s">
        <v>27</v>
      </c>
      <c r="E7" s="16" t="s">
        <v>60</v>
      </c>
      <c r="F7" s="16" t="s">
        <v>61</v>
      </c>
      <c r="G7" s="15" t="s">
        <v>62</v>
      </c>
      <c r="H7" s="15" t="s">
        <v>63</v>
      </c>
      <c r="I7" s="15">
        <v>5</v>
      </c>
      <c r="J7" s="25">
        <v>1500</v>
      </c>
      <c r="K7" s="18">
        <f>I7*J7</f>
      </c>
      <c r="L7" s="18">
        <v>4500</v>
      </c>
      <c r="M7" s="18">
        <f>K7-L7</f>
      </c>
      <c r="N7" s="16" t="s">
        <v>138</v>
      </c>
    </row>
    <row r="8" ht="22" customHeight="1" spans="1:14" x14ac:dyDescent="0.25">
      <c r="A8" s="15" t="s">
        <v>139</v>
      </c>
      <c r="B8" s="15" t="s">
        <v>78</v>
      </c>
      <c r="C8" s="15" t="s">
        <v>76</v>
      </c>
      <c r="D8" s="16" t="s">
        <v>49</v>
      </c>
      <c r="E8" s="16" t="s">
        <v>79</v>
      </c>
      <c r="F8" s="16" t="s">
        <v>80</v>
      </c>
      <c r="G8" s="15" t="s">
        <v>31</v>
      </c>
      <c r="H8" s="15" t="s">
        <v>53</v>
      </c>
      <c r="I8" s="15">
        <v>6</v>
      </c>
      <c r="J8" s="25">
        <v>1350</v>
      </c>
      <c r="K8" s="18">
        <f>I8*J8</f>
      </c>
      <c r="L8" s="18">
        <v>8100</v>
      </c>
      <c r="M8" s="18">
        <f>K8-L8</f>
      </c>
      <c r="N8" s="16" t="s">
        <v>140</v>
      </c>
    </row>
    <row r="9" ht="22" customHeight="1" spans="1:14" x14ac:dyDescent="0.25">
      <c r="A9" s="15" t="s">
        <v>141</v>
      </c>
      <c r="B9" s="15" t="s">
        <v>84</v>
      </c>
      <c r="C9" s="15" t="s">
        <v>76</v>
      </c>
      <c r="D9" s="16" t="s">
        <v>27</v>
      </c>
      <c r="E9" s="16" t="s">
        <v>142</v>
      </c>
      <c r="F9" s="16" t="s">
        <v>86</v>
      </c>
      <c r="G9" s="15" t="s">
        <v>38</v>
      </c>
      <c r="H9" s="15" t="s">
        <v>87</v>
      </c>
      <c r="I9" s="15">
        <v>7</v>
      </c>
      <c r="J9" s="25">
        <v>1550</v>
      </c>
      <c r="K9" s="18">
        <f>I9*J9</f>
      </c>
      <c r="L9" s="18">
        <v>10850</v>
      </c>
      <c r="M9" s="18">
        <f>K9-L9</f>
      </c>
      <c r="N9" s="16" t="s">
        <v>143</v>
      </c>
    </row>
    <row r="10" ht="22" customHeight="1" spans="1:14" x14ac:dyDescent="0.25">
      <c r="A10" s="15" t="s">
        <v>144</v>
      </c>
      <c r="B10" s="15" t="s">
        <v>103</v>
      </c>
      <c r="C10" s="15" t="s">
        <v>99</v>
      </c>
      <c r="D10" s="16" t="s">
        <v>27</v>
      </c>
      <c r="E10" s="16" t="s">
        <v>104</v>
      </c>
      <c r="F10" s="16" t="s">
        <v>105</v>
      </c>
      <c r="G10" s="15" t="s">
        <v>106</v>
      </c>
      <c r="H10" s="15" t="s">
        <v>32</v>
      </c>
      <c r="I10" s="15">
        <v>6</v>
      </c>
      <c r="J10" s="25">
        <v>1900</v>
      </c>
      <c r="K10" s="18">
        <f>I10*J10</f>
      </c>
      <c r="L10" s="18">
        <v>11400</v>
      </c>
      <c r="M10" s="18">
        <f>K10-L10</f>
      </c>
      <c r="N10" s="16" t="s">
        <v>145</v>
      </c>
    </row>
    <row r="11" ht="22" customHeight="1" spans="1:14" x14ac:dyDescent="0.25">
      <c r="A11" s="15" t="s">
        <v>146</v>
      </c>
      <c r="B11" s="15" t="s">
        <v>108</v>
      </c>
      <c r="C11" s="15" t="s">
        <v>99</v>
      </c>
      <c r="D11" s="16" t="s">
        <v>27</v>
      </c>
      <c r="E11" s="16" t="s">
        <v>109</v>
      </c>
      <c r="F11" s="16" t="s">
        <v>110</v>
      </c>
      <c r="G11" s="15" t="s">
        <v>52</v>
      </c>
      <c r="H11" s="15" t="s">
        <v>39</v>
      </c>
      <c r="I11" s="15">
        <v>6</v>
      </c>
      <c r="J11" s="25">
        <v>1900</v>
      </c>
      <c r="K11" s="18">
        <f>I11*J11</f>
      </c>
      <c r="L11" s="18">
        <v>11400</v>
      </c>
      <c r="M11" s="18">
        <f>K11-L11</f>
      </c>
      <c r="N11" s="16" t="s">
        <v>147</v>
      </c>
    </row>
    <row r="12" ht="20" customHeight="1" spans="1:14" x14ac:dyDescent="0.25">
      <c r="A12" s="15" t="s">
        <v>148</v>
      </c>
      <c r="B12" s="15"/>
      <c r="C12" s="15"/>
      <c r="D12" s="26"/>
      <c r="E12" s="26"/>
      <c r="F12" s="26"/>
      <c r="G12" s="15"/>
      <c r="H12" s="15"/>
      <c r="I12" s="15"/>
      <c r="J12" s="26"/>
      <c r="K12" s="18">
        <f>IF(AND(I12&gt;0, J12&gt;0), I12*J12, 0)</f>
      </c>
      <c r="L12" s="26"/>
      <c r="M12" s="18">
        <f>IF(K12&gt;0, K12-L12, 0)</f>
      </c>
      <c r="N12" s="26"/>
    </row>
    <row r="13" ht="20" customHeight="1" spans="1:14" x14ac:dyDescent="0.25">
      <c r="A13" s="15" t="s">
        <v>149</v>
      </c>
      <c r="B13" s="15"/>
      <c r="C13" s="15"/>
      <c r="D13" s="26"/>
      <c r="E13" s="26"/>
      <c r="F13" s="26"/>
      <c r="G13" s="15"/>
      <c r="H13" s="15"/>
      <c r="I13" s="15"/>
      <c r="J13" s="26"/>
      <c r="K13" s="18">
        <f>IF(AND(I13&gt;0, J13&gt;0), I13*J13, 0)</f>
      </c>
      <c r="L13" s="26"/>
      <c r="M13" s="18">
        <f>IF(K13&gt;0, K13-L13, 0)</f>
      </c>
      <c r="N13" s="26"/>
    </row>
    <row r="14" ht="20" customHeight="1" spans="1:14" x14ac:dyDescent="0.25">
      <c r="A14" s="15" t="s">
        <v>150</v>
      </c>
      <c r="B14" s="15"/>
      <c r="C14" s="15"/>
      <c r="D14" s="26"/>
      <c r="E14" s="26"/>
      <c r="F14" s="26"/>
      <c r="G14" s="15"/>
      <c r="H14" s="15"/>
      <c r="I14" s="15"/>
      <c r="J14" s="26"/>
      <c r="K14" s="18">
        <f>IF(AND(I14&gt;0, J14&gt;0), I14*J14, 0)</f>
      </c>
      <c r="L14" s="26"/>
      <c r="M14" s="18">
        <f>IF(K14&gt;0, K14-L14, 0)</f>
      </c>
      <c r="N14" s="26"/>
    </row>
    <row r="15" ht="20" customHeight="1" spans="1:14" x14ac:dyDescent="0.25">
      <c r="A15" s="15" t="s">
        <v>151</v>
      </c>
      <c r="B15" s="15"/>
      <c r="C15" s="15"/>
      <c r="D15" s="26"/>
      <c r="E15" s="26"/>
      <c r="F15" s="26"/>
      <c r="G15" s="15"/>
      <c r="H15" s="15"/>
      <c r="I15" s="15"/>
      <c r="J15" s="26"/>
      <c r="K15" s="18">
        <f>IF(AND(I15&gt;0, J15&gt;0), I15*J15, 0)</f>
      </c>
      <c r="L15" s="26"/>
      <c r="M15" s="18">
        <f>IF(K15&gt;0, K15-L15, 0)</f>
      </c>
      <c r="N15" s="26"/>
    </row>
    <row r="16" ht="20" customHeight="1" spans="1:14" x14ac:dyDescent="0.25">
      <c r="A16" s="15" t="s">
        <v>152</v>
      </c>
      <c r="B16" s="15"/>
      <c r="C16" s="15"/>
      <c r="D16" s="26"/>
      <c r="E16" s="26"/>
      <c r="F16" s="26"/>
      <c r="G16" s="15"/>
      <c r="H16" s="15"/>
      <c r="I16" s="15"/>
      <c r="J16" s="26"/>
      <c r="K16" s="18">
        <f>IF(AND(I16&gt;0, J16&gt;0), I16*J16, 0)</f>
      </c>
      <c r="L16" s="26"/>
      <c r="M16" s="18">
        <f>IF(K16&gt;0, K16-L16, 0)</f>
      </c>
      <c r="N16" s="26"/>
    </row>
    <row r="17" ht="20" customHeight="1" spans="1:14" x14ac:dyDescent="0.25">
      <c r="A17" s="15" t="s">
        <v>153</v>
      </c>
      <c r="B17" s="15"/>
      <c r="C17" s="15"/>
      <c r="D17" s="26"/>
      <c r="E17" s="26"/>
      <c r="F17" s="26"/>
      <c r="G17" s="15"/>
      <c r="H17" s="15"/>
      <c r="I17" s="15"/>
      <c r="J17" s="26"/>
      <c r="K17" s="18">
        <f>IF(AND(I17&gt;0, J17&gt;0), I17*J17, 0)</f>
      </c>
      <c r="L17" s="26"/>
      <c r="M17" s="18">
        <f>IF(K17&gt;0, K17-L17, 0)</f>
      </c>
      <c r="N17" s="26"/>
    </row>
    <row r="18" ht="20" customHeight="1" spans="1:14" x14ac:dyDescent="0.25">
      <c r="A18" s="15" t="s">
        <v>154</v>
      </c>
      <c r="B18" s="15"/>
      <c r="C18" s="15"/>
      <c r="D18" s="26"/>
      <c r="E18" s="26"/>
      <c r="F18" s="26"/>
      <c r="G18" s="15"/>
      <c r="H18" s="15"/>
      <c r="I18" s="15"/>
      <c r="J18" s="26"/>
      <c r="K18" s="18">
        <f>IF(AND(I18&gt;0, J18&gt;0), I18*J18, 0)</f>
      </c>
      <c r="L18" s="26"/>
      <c r="M18" s="18">
        <f>IF(K18&gt;0, K18-L18, 0)</f>
      </c>
      <c r="N18" s="26"/>
    </row>
    <row r="19" ht="20" customHeight="1" spans="1:14" x14ac:dyDescent="0.25">
      <c r="A19" s="15" t="s">
        <v>155</v>
      </c>
      <c r="B19" s="15"/>
      <c r="C19" s="15"/>
      <c r="D19" s="26"/>
      <c r="E19" s="26"/>
      <c r="F19" s="26"/>
      <c r="G19" s="15"/>
      <c r="H19" s="15"/>
      <c r="I19" s="15"/>
      <c r="J19" s="26"/>
      <c r="K19" s="18">
        <f>IF(AND(I19&gt;0, J19&gt;0), I19*J19, 0)</f>
      </c>
      <c r="L19" s="26"/>
      <c r="M19" s="18">
        <f>IF(K19&gt;0, K19-L19, 0)</f>
      </c>
      <c r="N19" s="26"/>
    </row>
    <row r="20" ht="20" customHeight="1" spans="1:14" x14ac:dyDescent="0.25">
      <c r="A20" s="15" t="s">
        <v>156</v>
      </c>
      <c r="B20" s="15"/>
      <c r="C20" s="15"/>
      <c r="D20" s="26"/>
      <c r="E20" s="26"/>
      <c r="F20" s="26"/>
      <c r="G20" s="15"/>
      <c r="H20" s="15"/>
      <c r="I20" s="15"/>
      <c r="J20" s="26"/>
      <c r="K20" s="18">
        <f>IF(AND(I20&gt;0, J20&gt;0), I20*J20, 0)</f>
      </c>
      <c r="L20" s="26"/>
      <c r="M20" s="18">
        <f>IF(K20&gt;0, K20-L20, 0)</f>
      </c>
      <c r="N20" s="26"/>
    </row>
    <row r="21" ht="20" customHeight="1" spans="1:14" x14ac:dyDescent="0.25">
      <c r="A21" s="15" t="s">
        <v>157</v>
      </c>
      <c r="B21" s="15"/>
      <c r="C21" s="15"/>
      <c r="D21" s="26"/>
      <c r="E21" s="26"/>
      <c r="F21" s="26"/>
      <c r="G21" s="15"/>
      <c r="H21" s="15"/>
      <c r="I21" s="15"/>
      <c r="J21" s="26"/>
      <c r="K21" s="18">
        <f>IF(AND(I21&gt;0, J21&gt;0), I21*J21, 0)</f>
      </c>
      <c r="L21" s="26"/>
      <c r="M21" s="18">
        <f>IF(K21&gt;0, K21-L21, 0)</f>
      </c>
      <c r="N21" s="26"/>
    </row>
    <row r="22" ht="20" customHeight="1" spans="1:14" x14ac:dyDescent="0.25">
      <c r="A22" s="15" t="s">
        <v>158</v>
      </c>
      <c r="B22" s="15"/>
      <c r="C22" s="15"/>
      <c r="D22" s="26"/>
      <c r="E22" s="26"/>
      <c r="F22" s="26"/>
      <c r="G22" s="15"/>
      <c r="H22" s="15"/>
      <c r="I22" s="15"/>
      <c r="J22" s="26"/>
      <c r="K22" s="18">
        <f>IF(AND(I22&gt;0, J22&gt;0), I22*J22, 0)</f>
      </c>
      <c r="L22" s="26"/>
      <c r="M22" s="18">
        <f>IF(K22&gt;0, K22-L22, 0)</f>
      </c>
      <c r="N22" s="26"/>
    </row>
    <row r="23" ht="20" customHeight="1" spans="1:14" x14ac:dyDescent="0.25">
      <c r="A23" s="15" t="s">
        <v>159</v>
      </c>
      <c r="B23" s="15"/>
      <c r="C23" s="15"/>
      <c r="D23" s="26"/>
      <c r="E23" s="26"/>
      <c r="F23" s="26"/>
      <c r="G23" s="15"/>
      <c r="H23" s="15"/>
      <c r="I23" s="15"/>
      <c r="J23" s="26"/>
      <c r="K23" s="18">
        <f>IF(AND(I23&gt;0, J23&gt;0), I23*J23, 0)</f>
      </c>
      <c r="L23" s="26"/>
      <c r="M23" s="18">
        <f>IF(K23&gt;0, K23-L23, 0)</f>
      </c>
      <c r="N23" s="26"/>
    </row>
    <row r="24" ht="20" customHeight="1" spans="1:14" x14ac:dyDescent="0.25">
      <c r="A24" s="15" t="s">
        <v>160</v>
      </c>
      <c r="B24" s="15"/>
      <c r="C24" s="15"/>
      <c r="D24" s="26"/>
      <c r="E24" s="26"/>
      <c r="F24" s="26"/>
      <c r="G24" s="15"/>
      <c r="H24" s="15"/>
      <c r="I24" s="15"/>
      <c r="J24" s="26"/>
      <c r="K24" s="18">
        <f>IF(AND(I24&gt;0, J24&gt;0), I24*J24, 0)</f>
      </c>
      <c r="L24" s="26"/>
      <c r="M24" s="18">
        <f>IF(K24&gt;0, K24-L24, 0)</f>
      </c>
      <c r="N24" s="26"/>
    </row>
    <row r="25" ht="20" customHeight="1" spans="1:14" x14ac:dyDescent="0.25">
      <c r="A25" s="15" t="s">
        <v>161</v>
      </c>
      <c r="B25" s="15"/>
      <c r="C25" s="15"/>
      <c r="D25" s="26"/>
      <c r="E25" s="26"/>
      <c r="F25" s="26"/>
      <c r="G25" s="15"/>
      <c r="H25" s="15"/>
      <c r="I25" s="15"/>
      <c r="J25" s="26"/>
      <c r="K25" s="18">
        <f>IF(AND(I25&gt;0, J25&gt;0), I25*J25, 0)</f>
      </c>
      <c r="L25" s="26"/>
      <c r="M25" s="18">
        <f>IF(K25&gt;0, K25-L25, 0)</f>
      </c>
      <c r="N25" s="26"/>
    </row>
    <row r="26" ht="20" customHeight="1" spans="1:14" x14ac:dyDescent="0.25">
      <c r="A26" s="15" t="s">
        <v>162</v>
      </c>
      <c r="B26" s="15"/>
      <c r="C26" s="15"/>
      <c r="D26" s="26"/>
      <c r="E26" s="26"/>
      <c r="F26" s="26"/>
      <c r="G26" s="15"/>
      <c r="H26" s="15"/>
      <c r="I26" s="15"/>
      <c r="J26" s="26"/>
      <c r="K26" s="18">
        <f>IF(AND(I26&gt;0, J26&gt;0), I26*J26, 0)</f>
      </c>
      <c r="L26" s="26"/>
      <c r="M26" s="18">
        <f>IF(K26&gt;0, K26-L26, 0)</f>
      </c>
      <c r="N26" s="26"/>
    </row>
    <row r="27" ht="20" customHeight="1" spans="1:14" x14ac:dyDescent="0.25">
      <c r="A27" s="15" t="s">
        <v>163</v>
      </c>
      <c r="B27" s="15"/>
      <c r="C27" s="15"/>
      <c r="D27" s="26"/>
      <c r="E27" s="26"/>
      <c r="F27" s="26"/>
      <c r="G27" s="15"/>
      <c r="H27" s="15"/>
      <c r="I27" s="15"/>
      <c r="J27" s="26"/>
      <c r="K27" s="18">
        <f>IF(AND(I27&gt;0, J27&gt;0), I27*J27, 0)</f>
      </c>
      <c r="L27" s="26"/>
      <c r="M27" s="18">
        <f>IF(K27&gt;0, K27-L27, 0)</f>
      </c>
      <c r="N27" s="26"/>
    </row>
    <row r="28" ht="20" customHeight="1" spans="1:14" x14ac:dyDescent="0.25">
      <c r="A28" s="15" t="s">
        <v>164</v>
      </c>
      <c r="B28" s="15"/>
      <c r="C28" s="15"/>
      <c r="D28" s="26"/>
      <c r="E28" s="26"/>
      <c r="F28" s="26"/>
      <c r="G28" s="15"/>
      <c r="H28" s="15"/>
      <c r="I28" s="15"/>
      <c r="J28" s="26"/>
      <c r="K28" s="18">
        <f>IF(AND(I28&gt;0, J28&gt;0), I28*J28, 0)</f>
      </c>
      <c r="L28" s="26"/>
      <c r="M28" s="18">
        <f>IF(K28&gt;0, K28-L28, 0)</f>
      </c>
      <c r="N28" s="26"/>
    </row>
    <row r="29" ht="20" customHeight="1" spans="1:14" x14ac:dyDescent="0.25">
      <c r="A29" s="15" t="s">
        <v>165</v>
      </c>
      <c r="B29" s="15"/>
      <c r="C29" s="15"/>
      <c r="D29" s="26"/>
      <c r="E29" s="26"/>
      <c r="F29" s="26"/>
      <c r="G29" s="15"/>
      <c r="H29" s="15"/>
      <c r="I29" s="15"/>
      <c r="J29" s="26"/>
      <c r="K29" s="18">
        <f>IF(AND(I29&gt;0, J29&gt;0), I29*J29, 0)</f>
      </c>
      <c r="L29" s="26"/>
      <c r="M29" s="18">
        <f>IF(K29&gt;0, K29-L29, 0)</f>
      </c>
      <c r="N29" s="26"/>
    </row>
    <row r="30" ht="20" customHeight="1" spans="1:14" x14ac:dyDescent="0.25">
      <c r="A30" s="15" t="s">
        <v>166</v>
      </c>
      <c r="B30" s="15"/>
      <c r="C30" s="15"/>
      <c r="D30" s="26"/>
      <c r="E30" s="26"/>
      <c r="F30" s="26"/>
      <c r="G30" s="15"/>
      <c r="H30" s="15"/>
      <c r="I30" s="15"/>
      <c r="J30" s="26"/>
      <c r="K30" s="18">
        <f>IF(AND(I30&gt;0, J30&gt;0), I30*J30, 0)</f>
      </c>
      <c r="L30" s="26"/>
      <c r="M30" s="18">
        <f>IF(K30&gt;0, K30-L30, 0)</f>
      </c>
      <c r="N30" s="26"/>
    </row>
    <row r="31" ht="20" customHeight="1" spans="1:14" x14ac:dyDescent="0.25">
      <c r="A31" s="15" t="s">
        <v>167</v>
      </c>
      <c r="B31" s="15"/>
      <c r="C31" s="15"/>
      <c r="D31" s="26"/>
      <c r="E31" s="26"/>
      <c r="F31" s="26"/>
      <c r="G31" s="15"/>
      <c r="H31" s="15"/>
      <c r="I31" s="15"/>
      <c r="J31" s="26"/>
      <c r="K31" s="18">
        <f>IF(AND(I31&gt;0, J31&gt;0), I31*J31, 0)</f>
      </c>
      <c r="L31" s="26"/>
      <c r="M31" s="18">
        <f>IF(K31&gt;0, K31-L31, 0)</f>
      </c>
      <c r="N31" s="26"/>
    </row>
    <row r="32" ht="20" customHeight="1" spans="1:14" x14ac:dyDescent="0.25">
      <c r="A32" s="15" t="s">
        <v>168</v>
      </c>
      <c r="B32" s="15"/>
      <c r="C32" s="15"/>
      <c r="D32" s="26"/>
      <c r="E32" s="26"/>
      <c r="F32" s="26"/>
      <c r="G32" s="15"/>
      <c r="H32" s="15"/>
      <c r="I32" s="15"/>
      <c r="J32" s="26"/>
      <c r="K32" s="18">
        <f>IF(AND(I32&gt;0, J32&gt;0), I32*J32, 0)</f>
      </c>
      <c r="L32" s="26"/>
      <c r="M32" s="18">
        <f>IF(K32&gt;0, K32-L32, 0)</f>
      </c>
      <c r="N32" s="26"/>
    </row>
    <row r="33" ht="20" customHeight="1" spans="1:14" x14ac:dyDescent="0.25">
      <c r="A33" s="15" t="s">
        <v>169</v>
      </c>
      <c r="B33" s="15"/>
      <c r="C33" s="15"/>
      <c r="D33" s="26"/>
      <c r="E33" s="26"/>
      <c r="F33" s="26"/>
      <c r="G33" s="15"/>
      <c r="H33" s="15"/>
      <c r="I33" s="15"/>
      <c r="J33" s="26"/>
      <c r="K33" s="18">
        <f>IF(AND(I33&gt;0, J33&gt;0), I33*J33, 0)</f>
      </c>
      <c r="L33" s="26"/>
      <c r="M33" s="18">
        <f>IF(K33&gt;0, K33-L33, 0)</f>
      </c>
      <c r="N33" s="26"/>
    </row>
    <row r="34" ht="28" customHeight="1" spans="1:14" x14ac:dyDescent="0.25">
      <c r="A34" s="13" t="s">
        <v>170</v>
      </c>
      <c r="B34" s="13"/>
      <c r="C34" s="13"/>
      <c r="D34" s="13"/>
      <c r="E34" s="13"/>
      <c r="F34" s="13"/>
      <c r="G34" s="13"/>
      <c r="H34" s="13"/>
      <c r="I34" s="13"/>
      <c r="J34" s="13"/>
      <c r="K34" s="27">
        <f>SUM(K4:K33)</f>
      </c>
      <c r="L34" s="28">
        <f>SUM(L4:L33)</f>
      </c>
      <c r="M34" s="29">
        <f>SUM(M4:M33)</f>
      </c>
      <c r="N34" s="3" t="s">
        <v>171</v>
      </c>
    </row>
  </sheetData>
  <mergeCells count="2">
    <mergeCell ref="A1:N1"/>
    <mergeCell ref="A34:J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15" customWidth="1"/>
    <col min="3" max="3" width="18" customWidth="1"/>
    <col min="4" max="4" width="24" customWidth="1"/>
    <col min="5" max="6" width="25" customWidth="1"/>
    <col min="7" max="7" width="30" customWidth="1"/>
  </cols>
  <sheetData>
    <row r="1" ht="36" customHeight="1" spans="1:7" x14ac:dyDescent="0.25">
      <c r="A1" s="30" t="s">
        <v>172</v>
      </c>
      <c r="B1" s="30"/>
      <c r="C1" s="30"/>
      <c r="D1" s="30"/>
      <c r="E1" s="30"/>
      <c r="F1" s="30"/>
      <c r="G1" s="30"/>
    </row>
    <row r="3" ht="28" customHeight="1" spans="1:7" x14ac:dyDescent="0.25">
      <c r="A3" s="31" t="s">
        <v>7</v>
      </c>
      <c r="B3" s="31" t="s">
        <v>8</v>
      </c>
      <c r="C3" s="31" t="s">
        <v>173</v>
      </c>
      <c r="D3" s="31" t="s">
        <v>174</v>
      </c>
      <c r="E3" s="31" t="s">
        <v>175</v>
      </c>
      <c r="F3" s="31" t="s">
        <v>176</v>
      </c>
      <c r="G3" s="31" t="s">
        <v>177</v>
      </c>
    </row>
    <row r="4" ht="24" customHeight="1" spans="1:7" x14ac:dyDescent="0.25">
      <c r="A4" s="14" t="s">
        <v>178</v>
      </c>
      <c r="B4" s="14"/>
      <c r="C4" s="14"/>
      <c r="D4" s="14"/>
      <c r="E4" s="14"/>
      <c r="F4" s="14"/>
      <c r="G4" s="14"/>
    </row>
    <row r="5" ht="22" customHeight="1" spans="1:7" x14ac:dyDescent="0.25">
      <c r="A5" s="15">
        <v>1</v>
      </c>
      <c r="B5" s="15" t="s">
        <v>20</v>
      </c>
      <c r="C5" s="15" t="s">
        <v>21</v>
      </c>
      <c r="D5" s="16" t="s">
        <v>22</v>
      </c>
      <c r="E5" s="16" t="s">
        <v>179</v>
      </c>
      <c r="F5" s="18">
        <v>1200</v>
      </c>
      <c r="G5" s="16" t="s">
        <v>25</v>
      </c>
    </row>
    <row r="6" ht="22" customHeight="1" spans="1:7" x14ac:dyDescent="0.25">
      <c r="A6" s="15">
        <v>2</v>
      </c>
      <c r="B6" s="15" t="s">
        <v>26</v>
      </c>
      <c r="C6" s="15" t="s">
        <v>21</v>
      </c>
      <c r="D6" s="16" t="s">
        <v>27</v>
      </c>
      <c r="E6" s="16" t="s">
        <v>180</v>
      </c>
      <c r="F6" s="18">
        <v>1400</v>
      </c>
      <c r="G6" s="16" t="s">
        <v>33</v>
      </c>
    </row>
    <row r="7" ht="22" customHeight="1" spans="1:7" x14ac:dyDescent="0.25">
      <c r="A7" s="15">
        <v>3</v>
      </c>
      <c r="B7" s="15" t="s">
        <v>34</v>
      </c>
      <c r="C7" s="15" t="s">
        <v>21</v>
      </c>
      <c r="D7" s="16" t="s">
        <v>35</v>
      </c>
      <c r="E7" s="16" t="s">
        <v>181</v>
      </c>
      <c r="F7" s="18">
        <v>2500</v>
      </c>
      <c r="G7" s="16" t="s">
        <v>40</v>
      </c>
    </row>
    <row r="8" ht="22" customHeight="1" spans="1:7" x14ac:dyDescent="0.25">
      <c r="A8" s="15">
        <v>4</v>
      </c>
      <c r="B8" s="15" t="s">
        <v>41</v>
      </c>
      <c r="C8" s="15" t="s">
        <v>21</v>
      </c>
      <c r="D8" s="16" t="s">
        <v>42</v>
      </c>
      <c r="E8" s="16" t="s">
        <v>180</v>
      </c>
      <c r="F8" s="18">
        <v>1500</v>
      </c>
      <c r="G8" s="16" t="s">
        <v>42</v>
      </c>
    </row>
    <row r="9" ht="24" customHeight="1" spans="1:7" x14ac:dyDescent="0.25">
      <c r="A9" s="14" t="s">
        <v>182</v>
      </c>
      <c r="B9" s="14"/>
      <c r="C9" s="14"/>
      <c r="D9" s="14"/>
      <c r="E9" s="14"/>
      <c r="F9" s="14"/>
      <c r="G9" s="14"/>
    </row>
    <row r="10" ht="22" customHeight="1" spans="1:7" x14ac:dyDescent="0.25">
      <c r="A10" s="15">
        <v>5</v>
      </c>
      <c r="B10" s="15" t="s">
        <v>44</v>
      </c>
      <c r="C10" s="15" t="s">
        <v>45</v>
      </c>
      <c r="D10" s="16" t="s">
        <v>46</v>
      </c>
      <c r="E10" s="16" t="s">
        <v>183</v>
      </c>
      <c r="F10" s="18">
        <v>900</v>
      </c>
      <c r="G10" s="16" t="s">
        <v>47</v>
      </c>
    </row>
    <row r="11" ht="22" customHeight="1" spans="1:7" x14ac:dyDescent="0.25">
      <c r="A11" s="15">
        <v>6</v>
      </c>
      <c r="B11" s="15" t="s">
        <v>48</v>
      </c>
      <c r="C11" s="15" t="s">
        <v>45</v>
      </c>
      <c r="D11" s="16" t="s">
        <v>49</v>
      </c>
      <c r="E11" s="16" t="s">
        <v>179</v>
      </c>
      <c r="F11" s="18">
        <v>1300</v>
      </c>
      <c r="G11" s="16" t="s">
        <v>54</v>
      </c>
    </row>
    <row r="12" ht="22" customHeight="1" spans="1:7" x14ac:dyDescent="0.25">
      <c r="A12" s="15">
        <v>7</v>
      </c>
      <c r="B12" s="15" t="s">
        <v>55</v>
      </c>
      <c r="C12" s="15" t="s">
        <v>45</v>
      </c>
      <c r="D12" s="16" t="s">
        <v>56</v>
      </c>
      <c r="E12" s="16" t="s">
        <v>179</v>
      </c>
      <c r="F12" s="18">
        <v>1200</v>
      </c>
      <c r="G12" s="16" t="s">
        <v>58</v>
      </c>
    </row>
    <row r="13" ht="22" customHeight="1" spans="1:7" x14ac:dyDescent="0.25">
      <c r="A13" s="15">
        <v>8</v>
      </c>
      <c r="B13" s="15" t="s">
        <v>59</v>
      </c>
      <c r="C13" s="15" t="s">
        <v>45</v>
      </c>
      <c r="D13" s="16" t="s">
        <v>27</v>
      </c>
      <c r="E13" s="16" t="s">
        <v>180</v>
      </c>
      <c r="F13" s="18">
        <v>1500</v>
      </c>
      <c r="G13" s="16" t="s">
        <v>64</v>
      </c>
    </row>
    <row r="14" ht="22" customHeight="1" spans="1:7" x14ac:dyDescent="0.25">
      <c r="A14" s="15">
        <v>9</v>
      </c>
      <c r="B14" s="15" t="s">
        <v>65</v>
      </c>
      <c r="C14" s="15" t="s">
        <v>45</v>
      </c>
      <c r="D14" s="16" t="s">
        <v>56</v>
      </c>
      <c r="E14" s="16" t="s">
        <v>179</v>
      </c>
      <c r="F14" s="18">
        <v>1200</v>
      </c>
      <c r="G14" s="16" t="s">
        <v>67</v>
      </c>
    </row>
    <row r="15" ht="22" customHeight="1" spans="1:7" x14ac:dyDescent="0.25">
      <c r="A15" s="15">
        <v>10</v>
      </c>
      <c r="B15" s="15" t="s">
        <v>68</v>
      </c>
      <c r="C15" s="15" t="s">
        <v>45</v>
      </c>
      <c r="D15" s="16" t="s">
        <v>69</v>
      </c>
      <c r="E15" s="16" t="s">
        <v>184</v>
      </c>
      <c r="F15" s="18">
        <v>1800</v>
      </c>
      <c r="G15" s="16" t="s">
        <v>70</v>
      </c>
    </row>
    <row r="16" ht="22" customHeight="1" spans="1:7" x14ac:dyDescent="0.25">
      <c r="A16" s="15">
        <v>11</v>
      </c>
      <c r="B16" s="15" t="s">
        <v>71</v>
      </c>
      <c r="C16" s="15" t="s">
        <v>45</v>
      </c>
      <c r="D16" s="16" t="s">
        <v>72</v>
      </c>
      <c r="E16" s="16" t="s">
        <v>179</v>
      </c>
      <c r="F16" s="18">
        <v>1250</v>
      </c>
      <c r="G16" s="16" t="s">
        <v>73</v>
      </c>
    </row>
    <row r="17" ht="24" customHeight="1" spans="1:7" x14ac:dyDescent="0.25">
      <c r="A17" s="14" t="s">
        <v>185</v>
      </c>
      <c r="B17" s="14"/>
      <c r="C17" s="14"/>
      <c r="D17" s="14"/>
      <c r="E17" s="14"/>
      <c r="F17" s="14"/>
      <c r="G17" s="14"/>
    </row>
    <row r="18" ht="22" customHeight="1" spans="1:7" x14ac:dyDescent="0.25">
      <c r="A18" s="15">
        <v>12</v>
      </c>
      <c r="B18" s="15" t="s">
        <v>75</v>
      </c>
      <c r="C18" s="15" t="s">
        <v>76</v>
      </c>
      <c r="D18" s="16" t="s">
        <v>46</v>
      </c>
      <c r="E18" s="16" t="s">
        <v>183</v>
      </c>
      <c r="F18" s="18">
        <v>950</v>
      </c>
      <c r="G18" s="16" t="s">
        <v>77</v>
      </c>
    </row>
    <row r="19" ht="22" customHeight="1" spans="1:7" x14ac:dyDescent="0.25">
      <c r="A19" s="15">
        <v>13</v>
      </c>
      <c r="B19" s="15" t="s">
        <v>78</v>
      </c>
      <c r="C19" s="15" t="s">
        <v>76</v>
      </c>
      <c r="D19" s="16" t="s">
        <v>49</v>
      </c>
      <c r="E19" s="16" t="s">
        <v>179</v>
      </c>
      <c r="F19" s="18">
        <v>1350</v>
      </c>
      <c r="G19" s="16" t="s">
        <v>81</v>
      </c>
    </row>
    <row r="20" ht="22" customHeight="1" spans="1:7" x14ac:dyDescent="0.25">
      <c r="A20" s="15">
        <v>14</v>
      </c>
      <c r="B20" s="15" t="s">
        <v>82</v>
      </c>
      <c r="C20" s="15" t="s">
        <v>76</v>
      </c>
      <c r="D20" s="16" t="s">
        <v>27</v>
      </c>
      <c r="E20" s="16" t="s">
        <v>180</v>
      </c>
      <c r="F20" s="18">
        <v>1550</v>
      </c>
      <c r="G20" s="16" t="s">
        <v>83</v>
      </c>
    </row>
    <row r="21" ht="22" customHeight="1" spans="1:7" x14ac:dyDescent="0.25">
      <c r="A21" s="15">
        <v>15</v>
      </c>
      <c r="B21" s="15" t="s">
        <v>84</v>
      </c>
      <c r="C21" s="15" t="s">
        <v>76</v>
      </c>
      <c r="D21" s="16" t="s">
        <v>27</v>
      </c>
      <c r="E21" s="16" t="s">
        <v>180</v>
      </c>
      <c r="F21" s="18">
        <v>1550</v>
      </c>
      <c r="G21" s="16" t="s">
        <v>88</v>
      </c>
    </row>
    <row r="22" ht="22" customHeight="1" spans="1:7" x14ac:dyDescent="0.25">
      <c r="A22" s="15">
        <v>16</v>
      </c>
      <c r="B22" s="15" t="s">
        <v>89</v>
      </c>
      <c r="C22" s="15" t="s">
        <v>76</v>
      </c>
      <c r="D22" s="16" t="s">
        <v>27</v>
      </c>
      <c r="E22" s="16" t="s">
        <v>180</v>
      </c>
      <c r="F22" s="18">
        <v>1550</v>
      </c>
      <c r="G22" s="16" t="s">
        <v>90</v>
      </c>
    </row>
    <row r="23" ht="22" customHeight="1" spans="1:7" x14ac:dyDescent="0.25">
      <c r="A23" s="15">
        <v>17</v>
      </c>
      <c r="B23" s="15" t="s">
        <v>91</v>
      </c>
      <c r="C23" s="15" t="s">
        <v>76</v>
      </c>
      <c r="D23" s="16" t="s">
        <v>92</v>
      </c>
      <c r="E23" s="16" t="s">
        <v>180</v>
      </c>
      <c r="F23" s="18">
        <v>1650</v>
      </c>
      <c r="G23" s="16" t="s">
        <v>93</v>
      </c>
    </row>
    <row r="24" ht="22" customHeight="1" spans="1:7" x14ac:dyDescent="0.25">
      <c r="A24" s="15">
        <v>18</v>
      </c>
      <c r="B24" s="15" t="s">
        <v>94</v>
      </c>
      <c r="C24" s="15" t="s">
        <v>76</v>
      </c>
      <c r="D24" s="16" t="s">
        <v>95</v>
      </c>
      <c r="E24" s="16" t="s">
        <v>179</v>
      </c>
      <c r="F24" s="18">
        <v>1300</v>
      </c>
      <c r="G24" s="16" t="s">
        <v>96</v>
      </c>
    </row>
    <row r="25" ht="24" customHeight="1" spans="1:7" x14ac:dyDescent="0.25">
      <c r="A25" s="14" t="s">
        <v>186</v>
      </c>
      <c r="B25" s="14"/>
      <c r="C25" s="14"/>
      <c r="D25" s="14"/>
      <c r="E25" s="14"/>
      <c r="F25" s="14"/>
      <c r="G25" s="14"/>
    </row>
    <row r="26" ht="22" customHeight="1" spans="1:7" x14ac:dyDescent="0.25">
      <c r="A26" s="15">
        <v>19</v>
      </c>
      <c r="B26" s="15" t="s">
        <v>98</v>
      </c>
      <c r="C26" s="15" t="s">
        <v>99</v>
      </c>
      <c r="D26" s="16" t="s">
        <v>46</v>
      </c>
      <c r="E26" s="16" t="s">
        <v>183</v>
      </c>
      <c r="F26" s="18">
        <v>1000</v>
      </c>
      <c r="G26" s="16" t="s">
        <v>100</v>
      </c>
    </row>
    <row r="27" ht="22" customHeight="1" spans="1:7" x14ac:dyDescent="0.25">
      <c r="A27" s="15">
        <v>20</v>
      </c>
      <c r="B27" s="15" t="s">
        <v>101</v>
      </c>
      <c r="C27" s="15" t="s">
        <v>99</v>
      </c>
      <c r="D27" s="16" t="s">
        <v>49</v>
      </c>
      <c r="E27" s="16" t="s">
        <v>179</v>
      </c>
      <c r="F27" s="18">
        <v>1400</v>
      </c>
      <c r="G27" s="16" t="s">
        <v>102</v>
      </c>
    </row>
    <row r="28" ht="22" customHeight="1" spans="1:7" x14ac:dyDescent="0.25">
      <c r="A28" s="15">
        <v>21</v>
      </c>
      <c r="B28" s="15" t="s">
        <v>103</v>
      </c>
      <c r="C28" s="15" t="s">
        <v>99</v>
      </c>
      <c r="D28" s="16" t="s">
        <v>27</v>
      </c>
      <c r="E28" s="16" t="s">
        <v>180</v>
      </c>
      <c r="F28" s="18">
        <v>1900</v>
      </c>
      <c r="G28" s="16" t="s">
        <v>107</v>
      </c>
    </row>
    <row r="29" ht="22" customHeight="1" spans="1:7" x14ac:dyDescent="0.25">
      <c r="A29" s="15">
        <v>22</v>
      </c>
      <c r="B29" s="15" t="s">
        <v>108</v>
      </c>
      <c r="C29" s="15" t="s">
        <v>99</v>
      </c>
      <c r="D29" s="16" t="s">
        <v>27</v>
      </c>
      <c r="E29" s="16" t="s">
        <v>180</v>
      </c>
      <c r="F29" s="18">
        <v>1900</v>
      </c>
      <c r="G29" s="16" t="s">
        <v>111</v>
      </c>
    </row>
    <row r="30" ht="22" customHeight="1" spans="1:7" x14ac:dyDescent="0.25">
      <c r="A30" s="15">
        <v>23</v>
      </c>
      <c r="B30" s="15" t="s">
        <v>112</v>
      </c>
      <c r="C30" s="15" t="s">
        <v>99</v>
      </c>
      <c r="D30" s="16" t="s">
        <v>56</v>
      </c>
      <c r="E30" s="16" t="s">
        <v>179</v>
      </c>
      <c r="F30" s="18">
        <v>1350</v>
      </c>
      <c r="G30" s="16" t="s">
        <v>113</v>
      </c>
    </row>
    <row r="31" ht="22" customHeight="1" spans="1:7" x14ac:dyDescent="0.25">
      <c r="A31" s="15">
        <v>24</v>
      </c>
      <c r="B31" s="15" t="s">
        <v>114</v>
      </c>
      <c r="C31" s="15" t="s">
        <v>99</v>
      </c>
      <c r="D31" s="16" t="s">
        <v>69</v>
      </c>
      <c r="E31" s="16" t="s">
        <v>184</v>
      </c>
      <c r="F31" s="18">
        <v>1900</v>
      </c>
      <c r="G31" s="16" t="s">
        <v>115</v>
      </c>
    </row>
    <row r="32" ht="22" customHeight="1" spans="1:7" x14ac:dyDescent="0.25">
      <c r="A32" s="15">
        <v>25</v>
      </c>
      <c r="B32" s="15" t="s">
        <v>116</v>
      </c>
      <c r="C32" s="15" t="s">
        <v>99</v>
      </c>
      <c r="D32" s="16" t="s">
        <v>72</v>
      </c>
      <c r="E32" s="16" t="s">
        <v>179</v>
      </c>
      <c r="F32" s="18">
        <v>1350</v>
      </c>
      <c r="G32" s="16" t="s">
        <v>96</v>
      </c>
    </row>
  </sheetData>
  <mergeCells count="5">
    <mergeCell ref="A1:G1"/>
    <mergeCell ref="A4:G4"/>
    <mergeCell ref="A9:G9"/>
    <mergeCell ref="A17:G17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حالة الغرف الحالية</vt:lpstr>
      <vt:lpstr>سجل الحجوزات الكامل</vt:lpstr>
      <vt:lpstr>توزيع الـ 25 غرفة المعتمد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PMS</dc:creator>
  <dc:title/>
  <dc:subject/>
  <dc:description/>
  <cp:keywords/>
  <cp:category/>
  <cp:lastModifiedBy>Henu Hotel PMS</cp:lastModifiedBy>
  <dcterms:created xsi:type="dcterms:W3CDTF">2026-08-24T14:48:43Z</dcterms:created>
  <dcterms:modified xsi:type="dcterms:W3CDTF">2026-08-24T14:48:43Z</dcterms:modified>
</cp:coreProperties>
</file>