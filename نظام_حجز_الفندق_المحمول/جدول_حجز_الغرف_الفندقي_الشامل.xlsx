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6F7F87F-CFF2-4BAE-887A-B4710178B44E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إعدادات_النظام" sheetId="1" state="hidden" r:id="rId1"/>
    <sheet name="حالة_الغرف_والأسعار" sheetId="2" r:id="rId2"/>
    <sheet name="سجل_الحجوزات" sheetId="3" r:id="rId3"/>
    <sheet name="دليل_الأنواع_والأسعار" sheetId="4" r:id="rId4"/>
  </sheets>
  <definedNames>
    <definedName name="طرق_الدفع">إعدادات_النظام!$B$1:$B$7</definedName>
    <definedName name="قائمة_الغرف">حالة_الغرف_والأسعار!$A$8:$A$60</definedName>
    <definedName name="قائمة_حالات_الغرفة">إعدادات_النظام!$A$1:$A$5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3" l="1"/>
  <c r="M63" i="3"/>
  <c r="K63" i="3"/>
  <c r="J63" i="3"/>
  <c r="I63" i="3"/>
  <c r="D63" i="3"/>
  <c r="C63" i="3"/>
  <c r="J62" i="3"/>
  <c r="I62" i="3"/>
  <c r="K62" i="3" s="1"/>
  <c r="M62" i="3" s="1"/>
  <c r="D62" i="3"/>
  <c r="C62" i="3"/>
  <c r="M61" i="3"/>
  <c r="K61" i="3"/>
  <c r="J61" i="3"/>
  <c r="I61" i="3"/>
  <c r="D61" i="3"/>
  <c r="C61" i="3"/>
  <c r="J60" i="3"/>
  <c r="I60" i="3"/>
  <c r="K60" i="3" s="1"/>
  <c r="M60" i="3" s="1"/>
  <c r="D60" i="3"/>
  <c r="C60" i="3"/>
  <c r="M59" i="3"/>
  <c r="K59" i="3"/>
  <c r="J59" i="3"/>
  <c r="I59" i="3"/>
  <c r="D59" i="3"/>
  <c r="C59" i="3"/>
  <c r="J58" i="3"/>
  <c r="I58" i="3"/>
  <c r="K58" i="3" s="1"/>
  <c r="M58" i="3" s="1"/>
  <c r="D58" i="3"/>
  <c r="C58" i="3"/>
  <c r="M57" i="3"/>
  <c r="K57" i="3"/>
  <c r="J57" i="3"/>
  <c r="I57" i="3"/>
  <c r="D57" i="3"/>
  <c r="C57" i="3"/>
  <c r="J56" i="3"/>
  <c r="I56" i="3"/>
  <c r="K56" i="3" s="1"/>
  <c r="M56" i="3" s="1"/>
  <c r="D56" i="3"/>
  <c r="C56" i="3"/>
  <c r="M55" i="3"/>
  <c r="K55" i="3"/>
  <c r="J55" i="3"/>
  <c r="I55" i="3"/>
  <c r="D55" i="3"/>
  <c r="C55" i="3"/>
  <c r="J54" i="3"/>
  <c r="I54" i="3"/>
  <c r="K54" i="3" s="1"/>
  <c r="M54" i="3" s="1"/>
  <c r="D54" i="3"/>
  <c r="C54" i="3"/>
  <c r="M53" i="3"/>
  <c r="K53" i="3"/>
  <c r="J53" i="3"/>
  <c r="I53" i="3"/>
  <c r="D53" i="3"/>
  <c r="C53" i="3"/>
  <c r="J52" i="3"/>
  <c r="I52" i="3"/>
  <c r="K52" i="3" s="1"/>
  <c r="M52" i="3" s="1"/>
  <c r="D52" i="3"/>
  <c r="C52" i="3"/>
  <c r="M51" i="3"/>
  <c r="K51" i="3"/>
  <c r="J51" i="3"/>
  <c r="I51" i="3"/>
  <c r="D51" i="3"/>
  <c r="C51" i="3"/>
  <c r="J50" i="3"/>
  <c r="I50" i="3"/>
  <c r="K50" i="3" s="1"/>
  <c r="M50" i="3" s="1"/>
  <c r="D50" i="3"/>
  <c r="C50" i="3"/>
  <c r="M49" i="3"/>
  <c r="K49" i="3"/>
  <c r="J49" i="3"/>
  <c r="I49" i="3"/>
  <c r="D49" i="3"/>
  <c r="C49" i="3"/>
  <c r="J48" i="3"/>
  <c r="I48" i="3"/>
  <c r="K48" i="3" s="1"/>
  <c r="M48" i="3" s="1"/>
  <c r="D48" i="3"/>
  <c r="C48" i="3"/>
  <c r="M47" i="3"/>
  <c r="K47" i="3"/>
  <c r="J47" i="3"/>
  <c r="I47" i="3"/>
  <c r="D47" i="3"/>
  <c r="C47" i="3"/>
  <c r="J46" i="3"/>
  <c r="I46" i="3"/>
  <c r="K46" i="3" s="1"/>
  <c r="M46" i="3" s="1"/>
  <c r="D46" i="3"/>
  <c r="C46" i="3"/>
  <c r="M45" i="3"/>
  <c r="K45" i="3"/>
  <c r="J45" i="3"/>
  <c r="I45" i="3"/>
  <c r="D45" i="3"/>
  <c r="C45" i="3"/>
  <c r="J44" i="3"/>
  <c r="I44" i="3"/>
  <c r="K44" i="3" s="1"/>
  <c r="M44" i="3" s="1"/>
  <c r="D44" i="3"/>
  <c r="C44" i="3"/>
  <c r="M43" i="3"/>
  <c r="K43" i="3"/>
  <c r="J43" i="3"/>
  <c r="I43" i="3"/>
  <c r="D43" i="3"/>
  <c r="C43" i="3"/>
  <c r="J42" i="3"/>
  <c r="I42" i="3"/>
  <c r="K42" i="3" s="1"/>
  <c r="M42" i="3" s="1"/>
  <c r="D42" i="3"/>
  <c r="C42" i="3"/>
  <c r="M41" i="3"/>
  <c r="K41" i="3"/>
  <c r="J41" i="3"/>
  <c r="I41" i="3"/>
  <c r="D41" i="3"/>
  <c r="C41" i="3"/>
  <c r="J40" i="3"/>
  <c r="I40" i="3"/>
  <c r="K40" i="3" s="1"/>
  <c r="M40" i="3" s="1"/>
  <c r="D40" i="3"/>
  <c r="C40" i="3"/>
  <c r="M39" i="3"/>
  <c r="K39" i="3"/>
  <c r="J39" i="3"/>
  <c r="I39" i="3"/>
  <c r="D39" i="3"/>
  <c r="C39" i="3"/>
  <c r="J38" i="3"/>
  <c r="I38" i="3"/>
  <c r="K38" i="3" s="1"/>
  <c r="M38" i="3" s="1"/>
  <c r="D38" i="3"/>
  <c r="C38" i="3"/>
  <c r="M37" i="3"/>
  <c r="K37" i="3"/>
  <c r="J37" i="3"/>
  <c r="I37" i="3"/>
  <c r="D37" i="3"/>
  <c r="C37" i="3"/>
  <c r="J36" i="3"/>
  <c r="I36" i="3"/>
  <c r="K36" i="3" s="1"/>
  <c r="M36" i="3" s="1"/>
  <c r="D36" i="3"/>
  <c r="C36" i="3"/>
  <c r="M35" i="3"/>
  <c r="K35" i="3"/>
  <c r="J35" i="3"/>
  <c r="I35" i="3"/>
  <c r="D35" i="3"/>
  <c r="C35" i="3"/>
  <c r="J34" i="3"/>
  <c r="I34" i="3"/>
  <c r="K34" i="3" s="1"/>
  <c r="M34" i="3" s="1"/>
  <c r="D34" i="3"/>
  <c r="C34" i="3"/>
  <c r="M33" i="3"/>
  <c r="K33" i="3"/>
  <c r="J33" i="3"/>
  <c r="I33" i="3"/>
  <c r="D33" i="3"/>
  <c r="C33" i="3"/>
  <c r="J32" i="3"/>
  <c r="I32" i="3"/>
  <c r="K32" i="3" s="1"/>
  <c r="M32" i="3" s="1"/>
  <c r="D32" i="3"/>
  <c r="C32" i="3"/>
  <c r="M31" i="3"/>
  <c r="K31" i="3"/>
  <c r="J31" i="3"/>
  <c r="I31" i="3"/>
  <c r="D31" i="3"/>
  <c r="C31" i="3"/>
  <c r="J30" i="3"/>
  <c r="I30" i="3"/>
  <c r="K30" i="3" s="1"/>
  <c r="M30" i="3" s="1"/>
  <c r="D30" i="3"/>
  <c r="C30" i="3"/>
  <c r="K29" i="3"/>
  <c r="M29" i="3" s="1"/>
  <c r="J29" i="3"/>
  <c r="I29" i="3"/>
  <c r="D29" i="3"/>
  <c r="C29" i="3"/>
  <c r="J28" i="3"/>
  <c r="I28" i="3"/>
  <c r="K28" i="3" s="1"/>
  <c r="M28" i="3" s="1"/>
  <c r="D28" i="3"/>
  <c r="C28" i="3"/>
  <c r="M27" i="3"/>
  <c r="K27" i="3"/>
  <c r="J27" i="3"/>
  <c r="I27" i="3"/>
  <c r="D27" i="3"/>
  <c r="C27" i="3"/>
  <c r="J26" i="3"/>
  <c r="I26" i="3"/>
  <c r="K26" i="3" s="1"/>
  <c r="M26" i="3" s="1"/>
  <c r="D26" i="3"/>
  <c r="C26" i="3"/>
  <c r="K25" i="3"/>
  <c r="M25" i="3" s="1"/>
  <c r="J25" i="3"/>
  <c r="I25" i="3"/>
  <c r="D25" i="3"/>
  <c r="C25" i="3"/>
  <c r="J24" i="3"/>
  <c r="I24" i="3"/>
  <c r="K24" i="3" s="1"/>
  <c r="M24" i="3" s="1"/>
  <c r="D24" i="3"/>
  <c r="C24" i="3"/>
  <c r="K23" i="3"/>
  <c r="M23" i="3" s="1"/>
  <c r="J23" i="3"/>
  <c r="I23" i="3"/>
  <c r="D23" i="3"/>
  <c r="C23" i="3"/>
  <c r="J22" i="3"/>
  <c r="I22" i="3"/>
  <c r="K22" i="3" s="1"/>
  <c r="M22" i="3" s="1"/>
  <c r="D22" i="3"/>
  <c r="C22" i="3"/>
  <c r="K21" i="3"/>
  <c r="M21" i="3" s="1"/>
  <c r="J21" i="3"/>
  <c r="I21" i="3"/>
  <c r="D21" i="3"/>
  <c r="C21" i="3"/>
  <c r="J20" i="3"/>
  <c r="I20" i="3"/>
  <c r="K20" i="3" s="1"/>
  <c r="M20" i="3" s="1"/>
  <c r="D20" i="3"/>
  <c r="C20" i="3"/>
  <c r="K19" i="3"/>
  <c r="M19" i="3" s="1"/>
  <c r="J19" i="3"/>
  <c r="I19" i="3"/>
  <c r="D19" i="3"/>
  <c r="C19" i="3"/>
  <c r="J18" i="3"/>
  <c r="I18" i="3"/>
  <c r="K18" i="3" s="1"/>
  <c r="M18" i="3" s="1"/>
  <c r="D18" i="3"/>
  <c r="C18" i="3"/>
  <c r="K17" i="3"/>
  <c r="M17" i="3" s="1"/>
  <c r="J17" i="3"/>
  <c r="I17" i="3"/>
  <c r="D17" i="3"/>
  <c r="C17" i="3"/>
  <c r="J16" i="3"/>
  <c r="I16" i="3"/>
  <c r="K16" i="3" s="1"/>
  <c r="M16" i="3" s="1"/>
  <c r="D16" i="3"/>
  <c r="C16" i="3"/>
  <c r="K15" i="3"/>
  <c r="M15" i="3" s="1"/>
  <c r="J15" i="3"/>
  <c r="I15" i="3"/>
  <c r="D15" i="3"/>
  <c r="C15" i="3"/>
  <c r="J14" i="3"/>
  <c r="I14" i="3"/>
  <c r="K14" i="3" s="1"/>
  <c r="M14" i="3" s="1"/>
  <c r="D14" i="3"/>
  <c r="C14" i="3"/>
  <c r="K13" i="3"/>
  <c r="M13" i="3" s="1"/>
  <c r="J13" i="3"/>
  <c r="I13" i="3"/>
  <c r="D13" i="3"/>
  <c r="C13" i="3"/>
  <c r="J12" i="3"/>
  <c r="I12" i="3"/>
  <c r="K12" i="3" s="1"/>
  <c r="M12" i="3" s="1"/>
  <c r="D12" i="3"/>
  <c r="C12" i="3"/>
  <c r="K11" i="3"/>
  <c r="M11" i="3" s="1"/>
  <c r="J11" i="3"/>
  <c r="I11" i="3"/>
  <c r="D11" i="3"/>
  <c r="C11" i="3"/>
  <c r="J10" i="3"/>
  <c r="I10" i="3"/>
  <c r="K10" i="3" s="1"/>
  <c r="M10" i="3" s="1"/>
  <c r="D10" i="3"/>
  <c r="C10" i="3"/>
  <c r="K9" i="3"/>
  <c r="M9" i="3" s="1"/>
  <c r="J9" i="3"/>
  <c r="I9" i="3"/>
  <c r="D9" i="3"/>
  <c r="C9" i="3"/>
  <c r="J8" i="3"/>
  <c r="I8" i="3"/>
  <c r="K8" i="3" s="1"/>
  <c r="M8" i="3" s="1"/>
  <c r="D8" i="3"/>
  <c r="C8" i="3"/>
  <c r="K7" i="3"/>
  <c r="M7" i="3" s="1"/>
  <c r="J7" i="3"/>
  <c r="I7" i="3"/>
  <c r="D7" i="3"/>
  <c r="C7" i="3"/>
  <c r="J6" i="3"/>
  <c r="I6" i="3"/>
  <c r="K6" i="3" s="1"/>
  <c r="M6" i="3" s="1"/>
  <c r="D6" i="3"/>
  <c r="C6" i="3"/>
  <c r="K5" i="3"/>
  <c r="M5" i="3" s="1"/>
  <c r="J5" i="3"/>
  <c r="I5" i="3"/>
  <c r="D5" i="3"/>
  <c r="C5" i="3"/>
  <c r="J4" i="3"/>
  <c r="I4" i="3"/>
  <c r="K4" i="3" s="1"/>
  <c r="D4" i="3"/>
  <c r="C4" i="3"/>
  <c r="D58" i="2"/>
  <c r="I57" i="2"/>
  <c r="H57" i="2"/>
  <c r="G57" i="2"/>
  <c r="F57" i="2"/>
  <c r="I56" i="2"/>
  <c r="H56" i="2"/>
  <c r="G56" i="2"/>
  <c r="F56" i="2"/>
  <c r="I55" i="2"/>
  <c r="H55" i="2"/>
  <c r="G55" i="2"/>
  <c r="F55" i="2"/>
  <c r="I54" i="2"/>
  <c r="H54" i="2"/>
  <c r="G54" i="2"/>
  <c r="F54" i="2"/>
  <c r="I53" i="2"/>
  <c r="H53" i="2"/>
  <c r="G53" i="2"/>
  <c r="F53" i="2"/>
  <c r="I52" i="2"/>
  <c r="H52" i="2"/>
  <c r="G52" i="2"/>
  <c r="F52" i="2"/>
  <c r="I51" i="2"/>
  <c r="H51" i="2"/>
  <c r="G51" i="2"/>
  <c r="F51" i="2"/>
  <c r="I50" i="2"/>
  <c r="H50" i="2"/>
  <c r="G50" i="2"/>
  <c r="F50" i="2"/>
  <c r="I49" i="2"/>
  <c r="H49" i="2"/>
  <c r="G49" i="2"/>
  <c r="F49" i="2"/>
  <c r="I48" i="2"/>
  <c r="H48" i="2"/>
  <c r="G48" i="2"/>
  <c r="F48" i="2"/>
  <c r="I47" i="2"/>
  <c r="H47" i="2"/>
  <c r="G47" i="2"/>
  <c r="F47" i="2"/>
  <c r="I46" i="2"/>
  <c r="H46" i="2"/>
  <c r="G46" i="2"/>
  <c r="F46" i="2"/>
  <c r="I45" i="2"/>
  <c r="H45" i="2"/>
  <c r="G45" i="2"/>
  <c r="F45" i="2"/>
  <c r="I44" i="2"/>
  <c r="H44" i="2"/>
  <c r="G44" i="2"/>
  <c r="F44" i="2"/>
  <c r="I43" i="2"/>
  <c r="H43" i="2"/>
  <c r="G43" i="2"/>
  <c r="F43" i="2"/>
  <c r="I42" i="2"/>
  <c r="H42" i="2"/>
  <c r="G42" i="2"/>
  <c r="F42" i="2"/>
  <c r="I41" i="2"/>
  <c r="H41" i="2"/>
  <c r="G41" i="2"/>
  <c r="F41" i="2"/>
  <c r="I40" i="2"/>
  <c r="H40" i="2"/>
  <c r="G40" i="2"/>
  <c r="F40" i="2"/>
  <c r="I39" i="2"/>
  <c r="H39" i="2"/>
  <c r="G39" i="2"/>
  <c r="F39" i="2"/>
  <c r="I38" i="2"/>
  <c r="H38" i="2"/>
  <c r="G38" i="2"/>
  <c r="F38" i="2"/>
  <c r="I37" i="2"/>
  <c r="H37" i="2"/>
  <c r="G37" i="2"/>
  <c r="F37" i="2"/>
  <c r="I36" i="2"/>
  <c r="H36" i="2"/>
  <c r="G36" i="2"/>
  <c r="F36" i="2"/>
  <c r="I35" i="2"/>
  <c r="H35" i="2"/>
  <c r="G35" i="2"/>
  <c r="F35" i="2"/>
  <c r="I34" i="2"/>
  <c r="H34" i="2"/>
  <c r="G34" i="2"/>
  <c r="F34" i="2"/>
  <c r="I33" i="2"/>
  <c r="H33" i="2"/>
  <c r="G33" i="2"/>
  <c r="F33" i="2"/>
  <c r="I32" i="2"/>
  <c r="H32" i="2"/>
  <c r="G32" i="2"/>
  <c r="F32" i="2"/>
  <c r="I31" i="2"/>
  <c r="H31" i="2"/>
  <c r="G31" i="2"/>
  <c r="F31" i="2"/>
  <c r="I30" i="2"/>
  <c r="H30" i="2"/>
  <c r="G30" i="2"/>
  <c r="F30" i="2"/>
  <c r="I29" i="2"/>
  <c r="H29" i="2"/>
  <c r="G29" i="2"/>
  <c r="F29" i="2"/>
  <c r="I28" i="2"/>
  <c r="H28" i="2"/>
  <c r="G28" i="2"/>
  <c r="F28" i="2"/>
  <c r="I27" i="2"/>
  <c r="H27" i="2"/>
  <c r="G27" i="2"/>
  <c r="F27" i="2"/>
  <c r="I26" i="2"/>
  <c r="H26" i="2"/>
  <c r="G26" i="2"/>
  <c r="F26" i="2"/>
  <c r="I25" i="2"/>
  <c r="H25" i="2"/>
  <c r="G25" i="2"/>
  <c r="F25" i="2"/>
  <c r="I24" i="2"/>
  <c r="H24" i="2"/>
  <c r="G24" i="2"/>
  <c r="F24" i="2"/>
  <c r="I23" i="2"/>
  <c r="H23" i="2"/>
  <c r="G23" i="2"/>
  <c r="F23" i="2"/>
  <c r="I22" i="2"/>
  <c r="H22" i="2"/>
  <c r="G22" i="2"/>
  <c r="F22" i="2"/>
  <c r="I21" i="2"/>
  <c r="H21" i="2"/>
  <c r="G21" i="2"/>
  <c r="F21" i="2"/>
  <c r="I20" i="2"/>
  <c r="H20" i="2"/>
  <c r="G20" i="2"/>
  <c r="F20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H16" i="2"/>
  <c r="G16" i="2"/>
  <c r="F16" i="2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I58" i="2" s="1"/>
  <c r="H9" i="2"/>
  <c r="G9" i="2"/>
  <c r="F9" i="2"/>
  <c r="I8" i="2"/>
  <c r="H8" i="2"/>
  <c r="G8" i="2"/>
  <c r="F8" i="2"/>
  <c r="G4" i="2"/>
  <c r="E4" i="2"/>
  <c r="C4" i="2"/>
  <c r="A4" i="2"/>
  <c r="H4" i="2" l="1"/>
  <c r="M4" i="3"/>
  <c r="M64" i="3" s="1"/>
  <c r="K64" i="3"/>
  <c r="I4" i="2"/>
</calcChain>
</file>

<file path=xl/sharedStrings.xml><?xml version="1.0" encoding="utf-8"?>
<sst xmlns="http://schemas.openxmlformats.org/spreadsheetml/2006/main" count="781" uniqueCount="202">
  <si>
    <t>متاحة</t>
  </si>
  <si>
    <t>مؤكد - نقدي</t>
  </si>
  <si>
    <t>ساكن</t>
  </si>
  <si>
    <t>مؤكد - فيزا</t>
  </si>
  <si>
    <t>محجوزة</t>
  </si>
  <si>
    <t>مؤكد - فودافون كاش</t>
  </si>
  <si>
    <t>تحت التنظيف</t>
  </si>
  <si>
    <t>مؤكد - بوكينج</t>
  </si>
  <si>
    <t>صيانة</t>
  </si>
  <si>
    <t>دفعة مقدمة</t>
  </si>
  <si>
    <t>معلق</t>
  </si>
  <si>
    <t>ملغي</t>
  </si>
  <si>
    <t>🏨 لوحة متابعة حالة الغرف والأسعار الفورية (تلوين تلقائي للصف بالكامل حسب الحالة)</t>
  </si>
  <si>
    <t>إجمالي الغرف</t>
  </si>
  <si>
    <t>غرف ساكنة (نزيل حالي)</t>
  </si>
  <si>
    <t>غرف محجوزة (قادمة)</t>
  </si>
  <si>
    <t>غرف متاحة</t>
  </si>
  <si>
    <t>نسبة الإشغال</t>
  </si>
  <si>
    <t>إجمالي المحصل (ج.م)</t>
  </si>
  <si>
    <t>رقم الغرفة</t>
  </si>
  <si>
    <t>الدور / الطابق</t>
  </si>
  <si>
    <t>نوع الغرفة</t>
  </si>
  <si>
    <t>السعر لليلة (ج.م)</t>
  </si>
  <si>
    <t>حالة الغرفة (قائمة منسدلة)</t>
  </si>
  <si>
    <t>اسم النزيل الحالي</t>
  </si>
  <si>
    <t>تاريخ الدخول</t>
  </si>
  <si>
    <t>تاريخ الخروج</t>
  </si>
  <si>
    <t>المبلغ المدفوع (ج.م)</t>
  </si>
  <si>
    <t>ملاحظات</t>
  </si>
  <si>
    <t>101</t>
  </si>
  <si>
    <t>الدور الأول</t>
  </si>
  <si>
    <t>دابل شبك</t>
  </si>
  <si>
    <t>شباك شبك</t>
  </si>
  <si>
    <t>102</t>
  </si>
  <si>
    <t>سرير كينج</t>
  </si>
  <si>
    <t>سرير كينج مريح</t>
  </si>
  <si>
    <t>103</t>
  </si>
  <si>
    <t>سويت عائلي</t>
  </si>
  <si>
    <t>سويت عائلي فاخر</t>
  </si>
  <si>
    <t>104</t>
  </si>
  <si>
    <t>كينج شبك</t>
  </si>
  <si>
    <t>201</t>
  </si>
  <si>
    <t>الدور الثاني</t>
  </si>
  <si>
    <t>سنجل بلكونة</t>
  </si>
  <si>
    <t>بلكونة خارجية</t>
  </si>
  <si>
    <t>202</t>
  </si>
  <si>
    <t>دابل بلكونة</t>
  </si>
  <si>
    <t>بلكونة وتراس</t>
  </si>
  <si>
    <t>203</t>
  </si>
  <si>
    <t>دابل قياسي</t>
  </si>
  <si>
    <t>تجهيز مفروشات</t>
  </si>
  <si>
    <t>204</t>
  </si>
  <si>
    <t>كينج واسع</t>
  </si>
  <si>
    <t>205</t>
  </si>
  <si>
    <t>شباك قياسي</t>
  </si>
  <si>
    <t>206</t>
  </si>
  <si>
    <t>ترابل 3 أسرّة</t>
  </si>
  <si>
    <t>غرفة عائلية 3 سراير</t>
  </si>
  <si>
    <t>207</t>
  </si>
  <si>
    <t>دابل جانبي</t>
  </si>
  <si>
    <t>إطلالة جانبية</t>
  </si>
  <si>
    <t>301</t>
  </si>
  <si>
    <t>الدور الثالث</t>
  </si>
  <si>
    <t>بلكونة دور ثالث</t>
  </si>
  <si>
    <t>302</t>
  </si>
  <si>
    <t>بلكونة مميزة</t>
  </si>
  <si>
    <t>303</t>
  </si>
  <si>
    <t>كينج فاخر</t>
  </si>
  <si>
    <t>304</t>
  </si>
  <si>
    <t>305</t>
  </si>
  <si>
    <t>كينج واسعة</t>
  </si>
  <si>
    <t>306</t>
  </si>
  <si>
    <t>كينج بلكونة</t>
  </si>
  <si>
    <t>بلكونة جانبية</t>
  </si>
  <si>
    <t>307</t>
  </si>
  <si>
    <t>شبك جانبي</t>
  </si>
  <si>
    <t>401</t>
  </si>
  <si>
    <t>الدور الرابع</t>
  </si>
  <si>
    <t>إطلالة روف علوية</t>
  </si>
  <si>
    <t>402</t>
  </si>
  <si>
    <t>بلكونة روف</t>
  </si>
  <si>
    <t>403</t>
  </si>
  <si>
    <t>إطلالة مميزة</t>
  </si>
  <si>
    <t>404</t>
  </si>
  <si>
    <t>كينج روف</t>
  </si>
  <si>
    <t>405</t>
  </si>
  <si>
    <t>دابل روف</t>
  </si>
  <si>
    <t>406</t>
  </si>
  <si>
    <t>ترابل روف</t>
  </si>
  <si>
    <t>407</t>
  </si>
  <si>
    <t/>
  </si>
  <si>
    <t>الإجمالي العام للغرف المسجلة</t>
  </si>
  <si>
    <t>إجمالي الإيراد المسدد حالياً:</t>
  </si>
  <si>
    <t>مربوط تلقائياً</t>
  </si>
  <si>
    <t>📋 سجل وتفاصيل حجوزات النزلاء ومتابعة الحسابات (فارغ وجاهز لتسجيل الحجوزات)</t>
  </si>
  <si>
    <t>رقم الحجز</t>
  </si>
  <si>
    <t>رقم الغرفة (قائمة)</t>
  </si>
  <si>
    <t>الدور (تلقائي)</t>
  </si>
  <si>
    <t>نوع الغرفة (تلقائي)</t>
  </si>
  <si>
    <t>اسم النزيل</t>
  </si>
  <si>
    <t>رقم الهاتف</t>
  </si>
  <si>
    <t>عدد الليالي (تلقائي)</t>
  </si>
  <si>
    <t>سعر الليلة (تلقائي)</t>
  </si>
  <si>
    <t>الإجمالي المطلوب (ج.م)</t>
  </si>
  <si>
    <t>المبلغ المسدد (ج.م)</t>
  </si>
  <si>
    <t>المتبقي (ج.م)</t>
  </si>
  <si>
    <t>طريقة الدفع والحالة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</si>
  <si>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</si>
  <si>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</si>
  <si>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</si>
  <si>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</si>
  <si>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</si>
  <si>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</si>
  <si>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</si>
  <si>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</si>
  <si>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</si>
  <si>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</si>
  <si>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</si>
  <si>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</si>
  <si>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</si>
  <si>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</si>
  <si>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</si>
  <si>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</si>
  <si>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</si>
  <si>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</si>
  <si>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</si>
  <si>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</si>
  <si>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</si>
  <si>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</si>
  <si>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</si>
  <si>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</si>
  <si>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</si>
  <si>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</si>
  <si>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</si>
  <si>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</si>
  <si>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</si>
  <si>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</si>
  <si>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</si>
  <si>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</si>
  <si>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</si>
  <si>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</si>
  <si>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</si>
  <si>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</si>
  <si>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BK-037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</si>
  <si>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</si>
  <si>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</si>
  <si>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</si>
  <si>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</si>
  <si>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</si>
  <si>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</si>
  <si>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</si>
  <si>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</si>
  <si>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</si>
  <si>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</si>
  <si>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</si>
  <si>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</si>
  <si>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</si>
  <si>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</si>
  <si>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</si>
  <si>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</si>
  <si>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BK-054</t>
  </si>
  <si>
    <t>BK-055</t>
  </si>
  <si>
    <t>BK-056</t>
  </si>
  <si>
    <t>BK-057</t>
  </si>
  <si>
    <t>BK-058</t>
  </si>
  <si>
    <t>BK-059</t>
  </si>
  <si>
    <t>BK-060</t>
  </si>
  <si>
    <t>إجمالي الحسابات والمبالغ للحجوزات المسجلة:</t>
  </si>
  <si>
    <t>مطابق تلقائياً</t>
  </si>
  <si>
    <t>🏷️ قائمة تصنيف أنواع الغرف والأسعار المعتمدة بالفندق</t>
  </si>
  <si>
    <t>م</t>
  </si>
  <si>
    <t>سعة الأفراد</t>
  </si>
  <si>
    <t>مواصفات الأسرّة</t>
  </si>
  <si>
    <t>سعر الليلة المقترح (ج.م)</t>
  </si>
  <si>
    <t>ملاحظات وتجهيزات</t>
  </si>
  <si>
    <t>سنجل بلكونة (Single)</t>
  </si>
  <si>
    <t>1 فرد</t>
  </si>
  <si>
    <t>1 سرير سنجل</t>
  </si>
  <si>
    <t>900 - 1,000 ج.م</t>
  </si>
  <si>
    <t>بلكونة خارجية مطلة</t>
  </si>
  <si>
    <t>دابل قياسي (Double)</t>
  </si>
  <si>
    <t>2 فرد</t>
  </si>
  <si>
    <t>1 سرير دابل</t>
  </si>
  <si>
    <t>1,200 - 1,350 ج.م</t>
  </si>
  <si>
    <t>تكييف + شاشة + حمام خاص</t>
  </si>
  <si>
    <t>دابل بلكونة (Double Balcony)</t>
  </si>
  <si>
    <t>1,300 - 1,400 ج.م</t>
  </si>
  <si>
    <t>بلكونة خاصة وتراس</t>
  </si>
  <si>
    <t>سرير كينج فاخر (King Room)</t>
  </si>
  <si>
    <t>1 سرير كينج كبير</t>
  </si>
  <si>
    <t>1,400 - 1,900 ج.م</t>
  </si>
  <si>
    <t>مساحة واسعة + جلسة خاصة</t>
  </si>
  <si>
    <t>ترابل عائلي (Triple)</t>
  </si>
  <si>
    <t>3 أفراد</t>
  </si>
  <si>
    <t>3 أسرّة فردية</t>
  </si>
  <si>
    <t>1,800 - 1,900 ج.م</t>
  </si>
  <si>
    <t>مثالية للعائلات والمجموعات</t>
  </si>
  <si>
    <t>سويت عائلي فاخر (Suite)</t>
  </si>
  <si>
    <t>3-4 أفراد</t>
  </si>
  <si>
    <t>1 كينج + صالة جلوس</t>
  </si>
  <si>
    <t>2,500 ج.م</t>
  </si>
  <si>
    <t>أعلى فئة مع صالة ضيافة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</si>
</sst>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\ &quot;ج.م&quot;"/>
    <numFmt numFmtId="166" formatCode="#,##0\ &quot;ج.م&quot;\ \(\م\ت\و\س\ط\)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0"/>
      <name val="Segoe UI"/>
    </font>
    <font>
      <b/>
      <sz val="16"/>
      <color rgb="FF0F172A"/>
      <name val="Segoe UI"/>
    </font>
    <font>
      <b/>
      <sz val="16"/>
      <color rgb="FF1E40AF"/>
      <name val="Segoe UI"/>
    </font>
    <font>
      <b/>
      <sz val="16"/>
      <color rgb="FFDC2626"/>
      <name val="Segoe UI"/>
    </font>
    <font>
      <b/>
      <sz val="16"/>
      <color rgb="FF16A34A"/>
      <name val="Segoe UI"/>
    </font>
    <font>
      <b/>
      <sz val="16"/>
      <color rgb="FFD97706"/>
      <name val="Segoe UI"/>
    </font>
    <font>
      <b/>
      <sz val="16"/>
      <color rgb="FF2563EB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166534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 indent="1"/>
    </xf>
    <xf numFmtId="165" fontId="10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indent="1"/>
    </xf>
    <xf numFmtId="165" fontId="10" fillId="0" borderId="1" xfId="0" applyNumberFormat="1" applyFont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165" fontId="11" fillId="6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165" fontId="2" fillId="4" borderId="1" xfId="0" applyNumberFormat="1" applyFont="1" applyFill="1" applyBorder="1"/>
    <xf numFmtId="165" fontId="2" fillId="6" borderId="1" xfId="0" applyNumberFormat="1" applyFont="1" applyFill="1" applyBorder="1"/>
    <xf numFmtId="165" fontId="2" fillId="5" borderId="1" xfId="0" applyNumberFormat="1" applyFont="1" applyFill="1" applyBorder="1"/>
    <xf numFmtId="0" fontId="9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475569"/>
      </font>
      <fill>
        <patternFill patternType="solid">
          <bgColor rgb="FFF1F5F9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B6" t="s">
        <v>10</v>
      </c>
    </row>
    <row r="7" spans="1:2">
      <c r="B7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rightToLeft="1" tabSelected="1" workbookViewId="0">
      <selection activeCell="E8" sqref="E8"/>
    </sheetView>
  </sheetViews>
  <sheetFormatPr defaultRowHeight="14.5"/>
  <cols>
    <col min="1" max="1" width="14" customWidth="1"/>
    <col min="2" max="2" width="16" customWidth="1"/>
    <col min="3" max="3" width="22" customWidth="1"/>
    <col min="4" max="4" width="18" customWidth="1"/>
    <col min="5" max="5" width="22" customWidth="1"/>
    <col min="6" max="6" width="25" customWidth="1"/>
    <col min="7" max="8" width="15" customWidth="1"/>
    <col min="9" max="9" width="20" customWidth="1"/>
    <col min="10" max="10" width="25" customWidth="1"/>
  </cols>
  <sheetData>
    <row r="1" spans="1:10" ht="38" customHeight="1">
      <c r="A1" s="23" t="s">
        <v>12</v>
      </c>
      <c r="B1" s="23"/>
      <c r="C1" s="23"/>
      <c r="D1" s="23"/>
      <c r="E1" s="23"/>
      <c r="F1" s="23"/>
      <c r="G1" s="23"/>
      <c r="H1" s="23"/>
      <c r="I1" s="23"/>
      <c r="J1" s="23"/>
    </row>
    <row r="3" spans="1:10" ht="24" customHeight="1">
      <c r="A3" s="24" t="s">
        <v>13</v>
      </c>
      <c r="B3" s="24"/>
      <c r="C3" s="25" t="s">
        <v>14</v>
      </c>
      <c r="D3" s="25"/>
      <c r="E3" s="26" t="s">
        <v>15</v>
      </c>
      <c r="F3" s="26"/>
      <c r="G3" s="2" t="s">
        <v>16</v>
      </c>
      <c r="H3" s="3" t="s">
        <v>17</v>
      </c>
      <c r="I3" s="25" t="s">
        <v>18</v>
      </c>
      <c r="J3" s="25"/>
    </row>
    <row r="4" spans="1:10" ht="24" customHeight="1">
      <c r="A4" s="27">
        <f>COUNTA(A8:A60)</f>
        <v>51</v>
      </c>
      <c r="B4" s="27"/>
      <c r="C4" s="28">
        <f>COUNTIF(E8:E60, "ساكن")</f>
        <v>0</v>
      </c>
      <c r="D4" s="28"/>
      <c r="E4" s="29">
        <f>COUNTIF(E8:E60, "محجوزة")</f>
        <v>0</v>
      </c>
      <c r="F4" s="29"/>
      <c r="G4" s="4">
        <f>COUNTIF(E8:E60, "متاحة")</f>
        <v>25</v>
      </c>
      <c r="H4" s="5">
        <f>IF(A4&gt;0, (C4+E4)/A4, 0)</f>
        <v>0</v>
      </c>
      <c r="I4" s="30">
        <f>SUM(I8:I60)</f>
        <v>0</v>
      </c>
      <c r="J4" s="30"/>
    </row>
    <row r="7" spans="1:10" ht="2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</row>
    <row r="8" spans="1:10" ht="22" customHeight="1">
      <c r="A8" s="2" t="s">
        <v>29</v>
      </c>
      <c r="B8" s="7" t="s">
        <v>30</v>
      </c>
      <c r="C8" s="8" t="s">
        <v>31</v>
      </c>
      <c r="D8" s="9">
        <v>1200</v>
      </c>
      <c r="E8" s="2" t="s">
        <v>0</v>
      </c>
      <c r="F8" s="8" t="str">
        <f>IF(A8="","", IFERROR(INDEX(سجل_الحجوزات!$E$4:$E$100, MATCH(A8, سجل_الحجوزات!$B$4:$B$100, 0)), "-"))</f>
        <v>-</v>
      </c>
      <c r="G8" s="7" t="str">
        <f>IF(A8="","", IFERROR(INDEX(سجل_الحجوزات!$G$4:$G$100, MATCH(A8, سجل_الحجوزات!$B$4:$B$100, 0)), "-"))</f>
        <v>-</v>
      </c>
      <c r="H8" s="7" t="str">
        <f>IF(A8="","", IFERROR(INDEX(سجل_الحجوزات!$H$4:$H$100, MATCH(A8, سجل_الحجوزات!$B$4:$B$100, 0)), "-"))</f>
        <v>-</v>
      </c>
      <c r="I8" s="9">
        <f>IF(A8="","", SUMIF(سجل_الحجوزات!$B$4:$B$100, A8, سجل_الحجوزات!$L$4:$L$100))</f>
        <v>0</v>
      </c>
      <c r="J8" s="8" t="s">
        <v>32</v>
      </c>
    </row>
    <row r="9" spans="1:10" ht="22" customHeight="1">
      <c r="A9" s="2" t="s">
        <v>33</v>
      </c>
      <c r="B9" s="7" t="s">
        <v>30</v>
      </c>
      <c r="C9" s="8" t="s">
        <v>34</v>
      </c>
      <c r="D9" s="9">
        <v>1400</v>
      </c>
      <c r="E9" s="2" t="s">
        <v>0</v>
      </c>
      <c r="F9" s="8" t="str">
        <f>IF(A9="","", IFERROR(INDEX(سجل_الحجوزات!$E$4:$E$100, MATCH(A9, سجل_الحجوزات!$B$4:$B$100, 0)), "-"))</f>
        <v>-</v>
      </c>
      <c r="G9" s="7" t="str">
        <f>IF(A9="","", IFERROR(INDEX(سجل_الحجوزات!$G$4:$G$100, MATCH(A9, سجل_الحجوزات!$B$4:$B$100, 0)), "-"))</f>
        <v>-</v>
      </c>
      <c r="H9" s="7" t="str">
        <f>IF(A9="","", IFERROR(INDEX(سجل_الحجوزات!$H$4:$H$100, MATCH(A9, سجل_الحجوزات!$B$4:$B$100, 0)), "-"))</f>
        <v>-</v>
      </c>
      <c r="I9" s="9">
        <f>IF(A9="","", SUMIF(سجل_الحجوزات!$B$4:$B$100, A9, سجل_الحجوزات!$L$4:$L$100))</f>
        <v>0</v>
      </c>
      <c r="J9" s="8" t="s">
        <v>35</v>
      </c>
    </row>
    <row r="10" spans="1:10" ht="22" customHeight="1">
      <c r="A10" s="2" t="s">
        <v>36</v>
      </c>
      <c r="B10" s="7" t="s">
        <v>30</v>
      </c>
      <c r="C10" s="8" t="s">
        <v>37</v>
      </c>
      <c r="D10" s="9">
        <v>2500</v>
      </c>
      <c r="E10" s="2" t="s">
        <v>0</v>
      </c>
      <c r="F10" s="8" t="str">
        <f>IF(A10="","", IFERROR(INDEX(سجل_الحجوزات!$E$4:$E$100, MATCH(A10, سجل_الحجوزات!$B$4:$B$100, 0)), "-"))</f>
        <v>-</v>
      </c>
      <c r="G10" s="7" t="str">
        <f>IF(A10="","", IFERROR(INDEX(سجل_الحجوزات!$G$4:$G$100, MATCH(A10, سجل_الحجوزات!$B$4:$B$100, 0)), "-"))</f>
        <v>-</v>
      </c>
      <c r="H10" s="7" t="str">
        <f>IF(A10="","", IFERROR(INDEX(سجل_الحجوزات!$H$4:$H$100, MATCH(A10, سجل_الحجوزات!$B$4:$B$100, 0)), "-"))</f>
        <v>-</v>
      </c>
      <c r="I10" s="9">
        <f>IF(A10="","", SUMIF(سجل_الحجوزات!$B$4:$B$100, A10, سجل_الحجوزات!$L$4:$L$100))</f>
        <v>0</v>
      </c>
      <c r="J10" s="8" t="s">
        <v>38</v>
      </c>
    </row>
    <row r="11" spans="1:10" ht="22" customHeight="1">
      <c r="A11" s="2" t="s">
        <v>39</v>
      </c>
      <c r="B11" s="7" t="s">
        <v>30</v>
      </c>
      <c r="C11" s="8" t="s">
        <v>40</v>
      </c>
      <c r="D11" s="9">
        <v>1500</v>
      </c>
      <c r="E11" s="2" t="s">
        <v>0</v>
      </c>
      <c r="F11" s="8" t="str">
        <f>IF(A11="","", IFERROR(INDEX(سجل_الحجوزات!$E$4:$E$100, MATCH(A11, سجل_الحجوزات!$B$4:$B$100, 0)), "-"))</f>
        <v>-</v>
      </c>
      <c r="G11" s="7" t="str">
        <f>IF(A11="","", IFERROR(INDEX(سجل_الحجوزات!$G$4:$G$100, MATCH(A11, سجل_الحجوزات!$B$4:$B$100, 0)), "-"))</f>
        <v>-</v>
      </c>
      <c r="H11" s="7" t="str">
        <f>IF(A11="","", IFERROR(INDEX(سجل_الحجوزات!$H$4:$H$100, MATCH(A11, سجل_الحجوزات!$B$4:$B$100, 0)), "-"))</f>
        <v>-</v>
      </c>
      <c r="I11" s="9">
        <f>IF(A11="","", SUMIF(سجل_الحجوزات!$B$4:$B$100, A11, سجل_الحجوزات!$L$4:$L$100))</f>
        <v>0</v>
      </c>
      <c r="J11" s="8" t="s">
        <v>40</v>
      </c>
    </row>
    <row r="12" spans="1:10" ht="22" customHeight="1">
      <c r="A12" s="2" t="s">
        <v>41</v>
      </c>
      <c r="B12" s="7" t="s">
        <v>42</v>
      </c>
      <c r="C12" s="8" t="s">
        <v>43</v>
      </c>
      <c r="D12" s="9">
        <v>900</v>
      </c>
      <c r="E12" s="2" t="s">
        <v>0</v>
      </c>
      <c r="F12" s="8" t="str">
        <f>IF(A12="","", IFERROR(INDEX(سجل_الحجوزات!$E$4:$E$100, MATCH(A12, سجل_الحجوزات!$B$4:$B$100, 0)), "-"))</f>
        <v>-</v>
      </c>
      <c r="G12" s="7" t="str">
        <f>IF(A12="","", IFERROR(INDEX(سجل_الحجوزات!$G$4:$G$100, MATCH(A12, سجل_الحجوزات!$B$4:$B$100, 0)), "-"))</f>
        <v>-</v>
      </c>
      <c r="H12" s="7" t="str">
        <f>IF(A12="","", IFERROR(INDEX(سجل_الحجوزات!$H$4:$H$100, MATCH(A12, سجل_الحجوزات!$B$4:$B$100, 0)), "-"))</f>
        <v>-</v>
      </c>
      <c r="I12" s="9">
        <f>IF(A12="","", SUMIF(سجل_الحجوزات!$B$4:$B$100, A12, سجل_الحجوزات!$L$4:$L$100))</f>
        <v>0</v>
      </c>
      <c r="J12" s="8" t="s">
        <v>44</v>
      </c>
    </row>
    <row r="13" spans="1:10" ht="22" customHeight="1">
      <c r="A13" s="2" t="s">
        <v>45</v>
      </c>
      <c r="B13" s="7" t="s">
        <v>42</v>
      </c>
      <c r="C13" s="8" t="s">
        <v>46</v>
      </c>
      <c r="D13" s="9">
        <v>1300</v>
      </c>
      <c r="E13" s="2" t="s">
        <v>0</v>
      </c>
      <c r="F13" s="8" t="str">
        <f>IF(A13="","", IFERROR(INDEX(سجل_الحجوزات!$E$4:$E$100, MATCH(A13, سجل_الحجوزات!$B$4:$B$100, 0)), "-"))</f>
        <v>-</v>
      </c>
      <c r="G13" s="7" t="str">
        <f>IF(A13="","", IFERROR(INDEX(سجل_الحجوزات!$G$4:$G$100, MATCH(A13, سجل_الحجوزات!$B$4:$B$100, 0)), "-"))</f>
        <v>-</v>
      </c>
      <c r="H13" s="7" t="str">
        <f>IF(A13="","", IFERROR(INDEX(سجل_الحجوزات!$H$4:$H$100, MATCH(A13, سجل_الحجوزات!$B$4:$B$100, 0)), "-"))</f>
        <v>-</v>
      </c>
      <c r="I13" s="9">
        <f>IF(A13="","", SUMIF(سجل_الحجوزات!$B$4:$B$100, A13, سجل_الحجوزات!$L$4:$L$100))</f>
        <v>0</v>
      </c>
      <c r="J13" s="8" t="s">
        <v>47</v>
      </c>
    </row>
    <row r="14" spans="1:10" ht="22" customHeight="1">
      <c r="A14" s="2" t="s">
        <v>48</v>
      </c>
      <c r="B14" s="7" t="s">
        <v>42</v>
      </c>
      <c r="C14" s="8" t="s">
        <v>49</v>
      </c>
      <c r="D14" s="9">
        <v>1200</v>
      </c>
      <c r="E14" s="2" t="s">
        <v>0</v>
      </c>
      <c r="F14" s="8" t="str">
        <f>IF(A14="","", IFERROR(INDEX(سجل_الحجوزات!$E$4:$E$100, MATCH(A14, سجل_الحجوزات!$B$4:$B$100, 0)), "-"))</f>
        <v>-</v>
      </c>
      <c r="G14" s="7" t="str">
        <f>IF(A14="","", IFERROR(INDEX(سجل_الحجوزات!$G$4:$G$100, MATCH(A14, سجل_الحجوزات!$B$4:$B$100, 0)), "-"))</f>
        <v>-</v>
      </c>
      <c r="H14" s="7" t="str">
        <f>IF(A14="","", IFERROR(INDEX(سجل_الحجوزات!$H$4:$H$100, MATCH(A14, سجل_الحجوزات!$B$4:$B$100, 0)), "-"))</f>
        <v>-</v>
      </c>
      <c r="I14" s="9">
        <f>IF(A14="","", SUMIF(سجل_الحجوزات!$B$4:$B$100, A14, سجل_الحجوزات!$L$4:$L$100))</f>
        <v>0</v>
      </c>
      <c r="J14" s="8" t="s">
        <v>50</v>
      </c>
    </row>
    <row r="15" spans="1:10" ht="22" customHeight="1">
      <c r="A15" s="2" t="s">
        <v>51</v>
      </c>
      <c r="B15" s="7" t="s">
        <v>42</v>
      </c>
      <c r="C15" s="8" t="s">
        <v>34</v>
      </c>
      <c r="D15" s="9">
        <v>1500</v>
      </c>
      <c r="E15" s="2" t="s">
        <v>0</v>
      </c>
      <c r="F15" s="8" t="str">
        <f>IF(A15="","", IFERROR(INDEX(سجل_الحجوزات!$E$4:$E$100, MATCH(A15, سجل_الحجوزات!$B$4:$B$100, 0)), "-"))</f>
        <v>-</v>
      </c>
      <c r="G15" s="7" t="str">
        <f>IF(A15="","", IFERROR(INDEX(سجل_الحجوزات!$G$4:$G$100, MATCH(A15, سجل_الحجوزات!$B$4:$B$100, 0)), "-"))</f>
        <v>-</v>
      </c>
      <c r="H15" s="7" t="str">
        <f>IF(A15="","", IFERROR(INDEX(سجل_الحجوزات!$H$4:$H$100, MATCH(A15, سجل_الحجوزات!$B$4:$B$100, 0)), "-"))</f>
        <v>-</v>
      </c>
      <c r="I15" s="9">
        <f>IF(A15="","", SUMIF(سجل_الحجوزات!$B$4:$B$100, A15, سجل_الحجوزات!$L$4:$L$100))</f>
        <v>0</v>
      </c>
      <c r="J15" s="8" t="s">
        <v>52</v>
      </c>
    </row>
    <row r="16" spans="1:10" ht="22" customHeight="1">
      <c r="A16" s="2" t="s">
        <v>53</v>
      </c>
      <c r="B16" s="7" t="s">
        <v>42</v>
      </c>
      <c r="C16" s="8" t="s">
        <v>49</v>
      </c>
      <c r="D16" s="9">
        <v>1200</v>
      </c>
      <c r="E16" s="2" t="s">
        <v>0</v>
      </c>
      <c r="F16" s="8" t="str">
        <f>IF(A16="","", IFERROR(INDEX(سجل_الحجوزات!$E$4:$E$100, MATCH(A16, سجل_الحجوزات!$B$4:$B$100, 0)), "-"))</f>
        <v>-</v>
      </c>
      <c r="G16" s="7" t="str">
        <f>IF(A16="","", IFERROR(INDEX(سجل_الحجوزات!$G$4:$G$100, MATCH(A16, سجل_الحجوزات!$B$4:$B$100, 0)), "-"))</f>
        <v>-</v>
      </c>
      <c r="H16" s="7" t="str">
        <f>IF(A16="","", IFERROR(INDEX(سجل_الحجوزات!$H$4:$H$100, MATCH(A16, سجل_الحجوزات!$B$4:$B$100, 0)), "-"))</f>
        <v>-</v>
      </c>
      <c r="I16" s="9">
        <f>IF(A16="","", SUMIF(سجل_الحجوزات!$B$4:$B$100, A16, سجل_الحجوزات!$L$4:$L$100))</f>
        <v>0</v>
      </c>
      <c r="J16" s="8" t="s">
        <v>54</v>
      </c>
    </row>
    <row r="17" spans="1:10" ht="22" customHeight="1">
      <c r="A17" s="2" t="s">
        <v>55</v>
      </c>
      <c r="B17" s="7" t="s">
        <v>42</v>
      </c>
      <c r="C17" s="8" t="s">
        <v>56</v>
      </c>
      <c r="D17" s="9">
        <v>1800</v>
      </c>
      <c r="E17" s="2" t="s">
        <v>0</v>
      </c>
      <c r="F17" s="8" t="str">
        <f>IF(A17="","", IFERROR(INDEX(سجل_الحجوزات!$E$4:$E$100, MATCH(A17, سجل_الحجوزات!$B$4:$B$100, 0)), "-"))</f>
        <v>-</v>
      </c>
      <c r="G17" s="7" t="str">
        <f>IF(A17="","", IFERROR(INDEX(سجل_الحجوزات!$G$4:$G$100, MATCH(A17, سجل_الحجوزات!$B$4:$B$100, 0)), "-"))</f>
        <v>-</v>
      </c>
      <c r="H17" s="7" t="str">
        <f>IF(A17="","", IFERROR(INDEX(سجل_الحجوزات!$H$4:$H$100, MATCH(A17, سجل_الحجوزات!$B$4:$B$100, 0)), "-"))</f>
        <v>-</v>
      </c>
      <c r="I17" s="9">
        <f>IF(A17="","", SUMIF(سجل_الحجوزات!$B$4:$B$100, A17, سجل_الحجوزات!$L$4:$L$100))</f>
        <v>0</v>
      </c>
      <c r="J17" s="8" t="s">
        <v>57</v>
      </c>
    </row>
    <row r="18" spans="1:10" ht="22" customHeight="1">
      <c r="A18" s="2" t="s">
        <v>58</v>
      </c>
      <c r="B18" s="7" t="s">
        <v>42</v>
      </c>
      <c r="C18" s="8" t="s">
        <v>59</v>
      </c>
      <c r="D18" s="9">
        <v>1250</v>
      </c>
      <c r="E18" s="2" t="s">
        <v>0</v>
      </c>
      <c r="F18" s="8" t="str">
        <f>IF(A18="","", IFERROR(INDEX(سجل_الحجوزات!$E$4:$E$100, MATCH(A18, سجل_الحجوزات!$B$4:$B$100, 0)), "-"))</f>
        <v>-</v>
      </c>
      <c r="G18" s="7" t="str">
        <f>IF(A18="","", IFERROR(INDEX(سجل_الحجوزات!$G$4:$G$100, MATCH(A18, سجل_الحجوزات!$B$4:$B$100, 0)), "-"))</f>
        <v>-</v>
      </c>
      <c r="H18" s="7" t="str">
        <f>IF(A18="","", IFERROR(INDEX(سجل_الحجوزات!$H$4:$H$100, MATCH(A18, سجل_الحجوزات!$B$4:$B$100, 0)), "-"))</f>
        <v>-</v>
      </c>
      <c r="I18" s="9">
        <f>IF(A18="","", SUMIF(سجل_الحجوزات!$B$4:$B$100, A18, سجل_الحجوزات!$L$4:$L$100))</f>
        <v>0</v>
      </c>
      <c r="J18" s="8" t="s">
        <v>60</v>
      </c>
    </row>
    <row r="19" spans="1:10" ht="22" customHeight="1">
      <c r="A19" s="2" t="s">
        <v>61</v>
      </c>
      <c r="B19" s="7" t="s">
        <v>62</v>
      </c>
      <c r="C19" s="8" t="s">
        <v>43</v>
      </c>
      <c r="D19" s="9">
        <v>950</v>
      </c>
      <c r="E19" s="2" t="s">
        <v>0</v>
      </c>
      <c r="F19" s="8" t="str">
        <f>IF(A19="","", IFERROR(INDEX(سجل_الحجوزات!$E$4:$E$100, MATCH(A19, سجل_الحجوزات!$B$4:$B$100, 0)), "-"))</f>
        <v>-</v>
      </c>
      <c r="G19" s="7" t="str">
        <f>IF(A19="","", IFERROR(INDEX(سجل_الحجوزات!$G$4:$G$100, MATCH(A19, سجل_الحجوزات!$B$4:$B$100, 0)), "-"))</f>
        <v>-</v>
      </c>
      <c r="H19" s="7" t="str">
        <f>IF(A19="","", IFERROR(INDEX(سجل_الحجوزات!$H$4:$H$100, MATCH(A19, سجل_الحجوزات!$B$4:$B$100, 0)), "-"))</f>
        <v>-</v>
      </c>
      <c r="I19" s="9">
        <f>IF(A19="","", SUMIF(سجل_الحجوزات!$B$4:$B$100, A19, سجل_الحجوزات!$L$4:$L$100))</f>
        <v>0</v>
      </c>
      <c r="J19" s="8" t="s">
        <v>63</v>
      </c>
    </row>
    <row r="20" spans="1:10" ht="22" customHeight="1">
      <c r="A20" s="2" t="s">
        <v>64</v>
      </c>
      <c r="B20" s="7" t="s">
        <v>62</v>
      </c>
      <c r="C20" s="8" t="s">
        <v>46</v>
      </c>
      <c r="D20" s="9">
        <v>1350</v>
      </c>
      <c r="E20" s="2" t="s">
        <v>0</v>
      </c>
      <c r="F20" s="8" t="str">
        <f>IF(A20="","", IFERROR(INDEX(سجل_الحجوزات!$E$4:$E$100, MATCH(A20, سجل_الحجوزات!$B$4:$B$100, 0)), "-"))</f>
        <v>-</v>
      </c>
      <c r="G20" s="7" t="str">
        <f>IF(A20="","", IFERROR(INDEX(سجل_الحجوزات!$G$4:$G$100, MATCH(A20, سجل_الحجوزات!$B$4:$B$100, 0)), "-"))</f>
        <v>-</v>
      </c>
      <c r="H20" s="7" t="str">
        <f>IF(A20="","", IFERROR(INDEX(سجل_الحجوزات!$H$4:$H$100, MATCH(A20, سجل_الحجوزات!$B$4:$B$100, 0)), "-"))</f>
        <v>-</v>
      </c>
      <c r="I20" s="9">
        <f>IF(A20="","", SUMIF(سجل_الحجوزات!$B$4:$B$100, A20, سجل_الحجوزات!$L$4:$L$100))</f>
        <v>0</v>
      </c>
      <c r="J20" s="8" t="s">
        <v>65</v>
      </c>
    </row>
    <row r="21" spans="1:10" ht="22" customHeight="1">
      <c r="A21" s="2" t="s">
        <v>66</v>
      </c>
      <c r="B21" s="7" t="s">
        <v>62</v>
      </c>
      <c r="C21" s="8" t="s">
        <v>34</v>
      </c>
      <c r="D21" s="9">
        <v>1550</v>
      </c>
      <c r="E21" s="2" t="s">
        <v>0</v>
      </c>
      <c r="F21" s="8" t="str">
        <f>IF(A21="","", IFERROR(INDEX(سجل_الحجوزات!$E$4:$E$100, MATCH(A21, سجل_الحجوزات!$B$4:$B$100, 0)), "-"))</f>
        <v>-</v>
      </c>
      <c r="G21" s="7" t="str">
        <f>IF(A21="","", IFERROR(INDEX(سجل_الحجوزات!$G$4:$G$100, MATCH(A21, سجل_الحجوزات!$B$4:$B$100, 0)), "-"))</f>
        <v>-</v>
      </c>
      <c r="H21" s="7" t="str">
        <f>IF(A21="","", IFERROR(INDEX(سجل_الحجوزات!$H$4:$H$100, MATCH(A21, سجل_الحجوزات!$B$4:$B$100, 0)), "-"))</f>
        <v>-</v>
      </c>
      <c r="I21" s="9">
        <f>IF(A21="","", SUMIF(سجل_الحجوزات!$B$4:$B$100, A21, سجل_الحجوزات!$L$4:$L$100))</f>
        <v>0</v>
      </c>
      <c r="J21" s="8" t="s">
        <v>67</v>
      </c>
    </row>
    <row r="22" spans="1:10" ht="22" customHeight="1">
      <c r="A22" s="2" t="s">
        <v>68</v>
      </c>
      <c r="B22" s="7" t="s">
        <v>62</v>
      </c>
      <c r="C22" s="8" t="s">
        <v>34</v>
      </c>
      <c r="D22" s="9">
        <v>1550</v>
      </c>
      <c r="E22" s="2" t="s">
        <v>0</v>
      </c>
      <c r="F22" s="8" t="str">
        <f>IF(A22="","", IFERROR(INDEX(سجل_الحجوزات!$E$4:$E$100, MATCH(A22, سجل_الحجوزات!$B$4:$B$100, 0)), "-"))</f>
        <v>-</v>
      </c>
      <c r="G22" s="7" t="str">
        <f>IF(A22="","", IFERROR(INDEX(سجل_الحجوزات!$G$4:$G$100, MATCH(A22, سجل_الحجوزات!$B$4:$B$100, 0)), "-"))</f>
        <v>-</v>
      </c>
      <c r="H22" s="7" t="str">
        <f>IF(A22="","", IFERROR(INDEX(سجل_الحجوزات!$H$4:$H$100, MATCH(A22, سجل_الحجوزات!$B$4:$B$100, 0)), "-"))</f>
        <v>-</v>
      </c>
      <c r="I22" s="9">
        <f>IF(A22="","", SUMIF(سجل_الحجوزات!$B$4:$B$100, A22, سجل_الحجوزات!$L$4:$L$100))</f>
        <v>0</v>
      </c>
      <c r="J22" s="8" t="s">
        <v>67</v>
      </c>
    </row>
    <row r="23" spans="1:10" ht="22" customHeight="1">
      <c r="A23" s="2" t="s">
        <v>69</v>
      </c>
      <c r="B23" s="7" t="s">
        <v>62</v>
      </c>
      <c r="C23" s="8" t="s">
        <v>34</v>
      </c>
      <c r="D23" s="9">
        <v>1550</v>
      </c>
      <c r="E23" s="2" t="s">
        <v>0</v>
      </c>
      <c r="F23" s="8" t="str">
        <f>IF(A23="","", IFERROR(INDEX(سجل_الحجوزات!$E$4:$E$100, MATCH(A23, سجل_الحجوزات!$B$4:$B$100, 0)), "-"))</f>
        <v>-</v>
      </c>
      <c r="G23" s="7" t="str">
        <f>IF(A23="","", IFERROR(INDEX(سجل_الحجوزات!$G$4:$G$100, MATCH(A23, سجل_الحجوزات!$B$4:$B$100, 0)), "-"))</f>
        <v>-</v>
      </c>
      <c r="H23" s="7" t="str">
        <f>IF(A23="","", IFERROR(INDEX(سجل_الحجوزات!$H$4:$H$100, MATCH(A23, سجل_الحجوزات!$B$4:$B$100, 0)), "-"))</f>
        <v>-</v>
      </c>
      <c r="I23" s="9">
        <f>IF(A23="","", SUMIF(سجل_الحجوزات!$B$4:$B$100, A23, سجل_الحجوزات!$L$4:$L$100))</f>
        <v>0</v>
      </c>
      <c r="J23" s="8" t="s">
        <v>70</v>
      </c>
    </row>
    <row r="24" spans="1:10" ht="22" customHeight="1">
      <c r="A24" s="2" t="s">
        <v>71</v>
      </c>
      <c r="B24" s="7" t="s">
        <v>62</v>
      </c>
      <c r="C24" s="8" t="s">
        <v>72</v>
      </c>
      <c r="D24" s="9">
        <v>1650</v>
      </c>
      <c r="E24" s="2" t="s">
        <v>0</v>
      </c>
      <c r="F24" s="8" t="str">
        <f>IF(A24="","", IFERROR(INDEX(سجل_الحجوزات!$E$4:$E$100, MATCH(A24, سجل_الحجوزات!$B$4:$B$100, 0)), "-"))</f>
        <v>-</v>
      </c>
      <c r="G24" s="7" t="str">
        <f>IF(A24="","", IFERROR(INDEX(سجل_الحجوزات!$G$4:$G$100, MATCH(A24, سجل_الحجوزات!$B$4:$B$100, 0)), "-"))</f>
        <v>-</v>
      </c>
      <c r="H24" s="7" t="str">
        <f>IF(A24="","", IFERROR(INDEX(سجل_الحجوزات!$H$4:$H$100, MATCH(A24, سجل_الحجوزات!$B$4:$B$100, 0)), "-"))</f>
        <v>-</v>
      </c>
      <c r="I24" s="9">
        <f>IF(A24="","", SUMIF(سجل_الحجوزات!$B$4:$B$100, A24, سجل_الحجوزات!$L$4:$L$100))</f>
        <v>0</v>
      </c>
      <c r="J24" s="8" t="s">
        <v>73</v>
      </c>
    </row>
    <row r="25" spans="1:10" ht="22" customHeight="1">
      <c r="A25" s="2" t="s">
        <v>74</v>
      </c>
      <c r="B25" s="7" t="s">
        <v>62</v>
      </c>
      <c r="C25" s="8" t="s">
        <v>59</v>
      </c>
      <c r="D25" s="9">
        <v>1300</v>
      </c>
      <c r="E25" s="2" t="s">
        <v>0</v>
      </c>
      <c r="F25" s="8" t="str">
        <f>IF(A25="","", IFERROR(INDEX(سجل_الحجوزات!$E$4:$E$100, MATCH(A25, سجل_الحجوزات!$B$4:$B$100, 0)), "-"))</f>
        <v>-</v>
      </c>
      <c r="G25" s="7" t="str">
        <f>IF(A25="","", IFERROR(INDEX(سجل_الحجوزات!$G$4:$G$100, MATCH(A25, سجل_الحجوزات!$B$4:$B$100, 0)), "-"))</f>
        <v>-</v>
      </c>
      <c r="H25" s="7" t="str">
        <f>IF(A25="","", IFERROR(INDEX(سجل_الحجوزات!$H$4:$H$100, MATCH(A25, سجل_الحجوزات!$B$4:$B$100, 0)), "-"))</f>
        <v>-</v>
      </c>
      <c r="I25" s="9">
        <f>IF(A25="","", SUMIF(سجل_الحجوزات!$B$4:$B$100, A25, سجل_الحجوزات!$L$4:$L$100))</f>
        <v>0</v>
      </c>
      <c r="J25" s="8" t="s">
        <v>75</v>
      </c>
    </row>
    <row r="26" spans="1:10" ht="22" customHeight="1">
      <c r="A26" s="2" t="s">
        <v>76</v>
      </c>
      <c r="B26" s="7" t="s">
        <v>77</v>
      </c>
      <c r="C26" s="8" t="s">
        <v>43</v>
      </c>
      <c r="D26" s="9">
        <v>1000</v>
      </c>
      <c r="E26" s="2" t="s">
        <v>0</v>
      </c>
      <c r="F26" s="8" t="str">
        <f>IF(A26="","", IFERROR(INDEX(سجل_الحجوزات!$E$4:$E$100, MATCH(A26, سجل_الحجوزات!$B$4:$B$100, 0)), "-"))</f>
        <v>-</v>
      </c>
      <c r="G26" s="7" t="str">
        <f>IF(A26="","", IFERROR(INDEX(سجل_الحجوزات!$G$4:$G$100, MATCH(A26, سجل_الحجوزات!$B$4:$B$100, 0)), "-"))</f>
        <v>-</v>
      </c>
      <c r="H26" s="7" t="str">
        <f>IF(A26="","", IFERROR(INDEX(سجل_الحجوزات!$H$4:$H$100, MATCH(A26, سجل_الحجوزات!$B$4:$B$100, 0)), "-"))</f>
        <v>-</v>
      </c>
      <c r="I26" s="9">
        <f>IF(A26="","", SUMIF(سجل_الحجوزات!$B$4:$B$100, A26, سجل_الحجوزات!$L$4:$L$100))</f>
        <v>0</v>
      </c>
      <c r="J26" s="8" t="s">
        <v>78</v>
      </c>
    </row>
    <row r="27" spans="1:10" ht="22" customHeight="1">
      <c r="A27" s="2" t="s">
        <v>79</v>
      </c>
      <c r="B27" s="7" t="s">
        <v>77</v>
      </c>
      <c r="C27" s="8" t="s">
        <v>46</v>
      </c>
      <c r="D27" s="9">
        <v>1400</v>
      </c>
      <c r="E27" s="2" t="s">
        <v>0</v>
      </c>
      <c r="F27" s="8" t="str">
        <f>IF(A27="","", IFERROR(INDEX(سجل_الحجوزات!$E$4:$E$100, MATCH(A27, سجل_الحجوزات!$B$4:$B$100, 0)), "-"))</f>
        <v>-</v>
      </c>
      <c r="G27" s="7" t="str">
        <f>IF(A27="","", IFERROR(INDEX(سجل_الحجوزات!$G$4:$G$100, MATCH(A27, سجل_الحجوزات!$B$4:$B$100, 0)), "-"))</f>
        <v>-</v>
      </c>
      <c r="H27" s="7" t="str">
        <f>IF(A27="","", IFERROR(INDEX(سجل_الحجوزات!$H$4:$H$100, MATCH(A27, سجل_الحجوزات!$B$4:$B$100, 0)), "-"))</f>
        <v>-</v>
      </c>
      <c r="I27" s="9">
        <f>IF(A27="","", SUMIF(سجل_الحجوزات!$B$4:$B$100, A27, سجل_الحجوزات!$L$4:$L$100))</f>
        <v>0</v>
      </c>
      <c r="J27" s="8" t="s">
        <v>80</v>
      </c>
    </row>
    <row r="28" spans="1:10" ht="22" customHeight="1">
      <c r="A28" s="2" t="s">
        <v>81</v>
      </c>
      <c r="B28" s="7" t="s">
        <v>77</v>
      </c>
      <c r="C28" s="8" t="s">
        <v>34</v>
      </c>
      <c r="D28" s="9">
        <v>1900</v>
      </c>
      <c r="E28" s="2" t="s">
        <v>0</v>
      </c>
      <c r="F28" s="8" t="str">
        <f>IF(A28="","", IFERROR(INDEX(سجل_الحجوزات!$E$4:$E$100, MATCH(A28, سجل_الحجوزات!$B$4:$B$100, 0)), "-"))</f>
        <v>-</v>
      </c>
      <c r="G28" s="7" t="str">
        <f>IF(A28="","", IFERROR(INDEX(سجل_الحجوزات!$G$4:$G$100, MATCH(A28, سجل_الحجوزات!$B$4:$B$100, 0)), "-"))</f>
        <v>-</v>
      </c>
      <c r="H28" s="7" t="str">
        <f>IF(A28="","", IFERROR(INDEX(سجل_الحجوزات!$H$4:$H$100, MATCH(A28, سجل_الحجوزات!$B$4:$B$100, 0)), "-"))</f>
        <v>-</v>
      </c>
      <c r="I28" s="9">
        <f>IF(A28="","", SUMIF(سجل_الحجوزات!$B$4:$B$100, A28, سجل_الحجوزات!$L$4:$L$100))</f>
        <v>0</v>
      </c>
      <c r="J28" s="8" t="s">
        <v>82</v>
      </c>
    </row>
    <row r="29" spans="1:10" ht="22" customHeight="1">
      <c r="A29" s="2" t="s">
        <v>83</v>
      </c>
      <c r="B29" s="7" t="s">
        <v>77</v>
      </c>
      <c r="C29" s="8" t="s">
        <v>34</v>
      </c>
      <c r="D29" s="9">
        <v>1900</v>
      </c>
      <c r="E29" s="2" t="s">
        <v>0</v>
      </c>
      <c r="F29" s="8" t="str">
        <f>IF(A29="","", IFERROR(INDEX(سجل_الحجوزات!$E$4:$E$100, MATCH(A29, سجل_الحجوزات!$B$4:$B$100, 0)), "-"))</f>
        <v>-</v>
      </c>
      <c r="G29" s="7" t="str">
        <f>IF(A29="","", IFERROR(INDEX(سجل_الحجوزات!$G$4:$G$100, MATCH(A29, سجل_الحجوزات!$B$4:$B$100, 0)), "-"))</f>
        <v>-</v>
      </c>
      <c r="H29" s="7" t="str">
        <f>IF(A29="","", IFERROR(INDEX(سجل_الحجوزات!$H$4:$H$100, MATCH(A29, سجل_الحجوزات!$B$4:$B$100, 0)), "-"))</f>
        <v>-</v>
      </c>
      <c r="I29" s="9">
        <f>IF(A29="","", SUMIF(سجل_الحجوزات!$B$4:$B$100, A29, سجل_الحجوزات!$L$4:$L$100))</f>
        <v>0</v>
      </c>
      <c r="J29" s="8" t="s">
        <v>84</v>
      </c>
    </row>
    <row r="30" spans="1:10" ht="22" customHeight="1">
      <c r="A30" s="2" t="s">
        <v>85</v>
      </c>
      <c r="B30" s="7" t="s">
        <v>77</v>
      </c>
      <c r="C30" s="8" t="s">
        <v>86</v>
      </c>
      <c r="D30" s="9">
        <v>1350</v>
      </c>
      <c r="E30" s="2" t="s">
        <v>0</v>
      </c>
      <c r="F30" s="8" t="str">
        <f>IF(A30="","", IFERROR(INDEX(سجل_الحجوزات!$E$4:$E$100, MATCH(A30, سجل_الحجوزات!$B$4:$B$100, 0)), "-"))</f>
        <v>-</v>
      </c>
      <c r="G30" s="7" t="str">
        <f>IF(A30="","", IFERROR(INDEX(سجل_الحجوزات!$G$4:$G$100, MATCH(A30, سجل_الحجوزات!$B$4:$B$100, 0)), "-"))</f>
        <v>-</v>
      </c>
      <c r="H30" s="7" t="str">
        <f>IF(A30="","", IFERROR(INDEX(سجل_الحجوزات!$H$4:$H$100, MATCH(A30, سجل_الحجوزات!$B$4:$B$100, 0)), "-"))</f>
        <v>-</v>
      </c>
      <c r="I30" s="9">
        <f>IF(A30="","", SUMIF(سجل_الحجوزات!$B$4:$B$100, A30, سجل_الحجوزات!$L$4:$L$100))</f>
        <v>0</v>
      </c>
      <c r="J30" s="8" t="s">
        <v>86</v>
      </c>
    </row>
    <row r="31" spans="1:10" ht="22" customHeight="1">
      <c r="A31" s="2" t="s">
        <v>87</v>
      </c>
      <c r="B31" s="7" t="s">
        <v>77</v>
      </c>
      <c r="C31" s="8" t="s">
        <v>56</v>
      </c>
      <c r="D31" s="9">
        <v>1900</v>
      </c>
      <c r="E31" s="2" t="s">
        <v>0</v>
      </c>
      <c r="F31" s="8" t="str">
        <f>IF(A31="","", IFERROR(INDEX(سجل_الحجوزات!$E$4:$E$100, MATCH(A31, سجل_الحجوزات!$B$4:$B$100, 0)), "-"))</f>
        <v>-</v>
      </c>
      <c r="G31" s="7" t="str">
        <f>IF(A31="","", IFERROR(INDEX(سجل_الحجوزات!$G$4:$G$100, MATCH(A31, سجل_الحجوزات!$B$4:$B$100, 0)), "-"))</f>
        <v>-</v>
      </c>
      <c r="H31" s="7" t="str">
        <f>IF(A31="","", IFERROR(INDEX(سجل_الحجوزات!$H$4:$H$100, MATCH(A31, سجل_الحجوزات!$B$4:$B$100, 0)), "-"))</f>
        <v>-</v>
      </c>
      <c r="I31" s="9">
        <f>IF(A31="","", SUMIF(سجل_الحجوزات!$B$4:$B$100, A31, سجل_الحجوزات!$L$4:$L$100))</f>
        <v>0</v>
      </c>
      <c r="J31" s="8" t="s">
        <v>88</v>
      </c>
    </row>
    <row r="32" spans="1:10" ht="22" customHeight="1">
      <c r="A32" s="2" t="s">
        <v>89</v>
      </c>
      <c r="B32" s="7" t="s">
        <v>77</v>
      </c>
      <c r="C32" s="8" t="s">
        <v>59</v>
      </c>
      <c r="D32" s="9">
        <v>1350</v>
      </c>
      <c r="E32" s="2" t="s">
        <v>0</v>
      </c>
      <c r="F32" s="8" t="str">
        <f>IF(A32="","", IFERROR(INDEX(سجل_الحجوزات!$E$4:$E$100, MATCH(A32, سجل_الحجوزات!$B$4:$B$100, 0)), "-"))</f>
        <v>-</v>
      </c>
      <c r="G32" s="7" t="str">
        <f>IF(A32="","", IFERROR(INDEX(سجل_الحجوزات!$G$4:$G$100, MATCH(A32, سجل_الحجوزات!$B$4:$B$100, 0)), "-"))</f>
        <v>-</v>
      </c>
      <c r="H32" s="7" t="str">
        <f>IF(A32="","", IFERROR(INDEX(سجل_الحجوزات!$H$4:$H$100, MATCH(A32, سجل_الحجوزات!$B$4:$B$100, 0)), "-"))</f>
        <v>-</v>
      </c>
      <c r="I32" s="9">
        <f>IF(A32="","", SUMIF(سجل_الحجوزات!$B$4:$B$100, A32, سجل_الحجوزات!$L$4:$L$100))</f>
        <v>0</v>
      </c>
      <c r="J32" s="8" t="s">
        <v>75</v>
      </c>
    </row>
    <row r="33" spans="1:10" ht="22" customHeight="1">
      <c r="A33" s="10" t="s">
        <v>90</v>
      </c>
      <c r="B33" s="11" t="s">
        <v>90</v>
      </c>
      <c r="C33" s="12" t="s">
        <v>90</v>
      </c>
      <c r="D33" s="13" t="s">
        <v>90</v>
      </c>
      <c r="E33" s="10" t="s">
        <v>90</v>
      </c>
      <c r="F33" s="12" t="str">
        <f>IF(A33="","", IFERROR(INDEX(سجل_الحجوزات!$E$4:$E$100, MATCH(A33, سجل_الحجوزات!$B$4:$B$100, 0)), "-"))</f>
        <v/>
      </c>
      <c r="G33" s="11" t="str">
        <f>IF(A33="","", IFERROR(INDEX(سجل_الحجوزات!$G$4:$G$100, MATCH(A33, سجل_الحجوزات!$B$4:$B$100, 0)), "-"))</f>
        <v/>
      </c>
      <c r="H33" s="11" t="str">
        <f>IF(A33="","", IFERROR(INDEX(سجل_الحجوزات!$H$4:$H$100, MATCH(A33, سجل_الحجوزات!$B$4:$B$100, 0)), "-"))</f>
        <v/>
      </c>
      <c r="I33" s="13" t="str">
        <f>IF(A33="","", SUMIF(سجل_الحجوزات!$B$4:$B$100, A33, سجل_الحجوزات!$L$4:$L$100))</f>
        <v/>
      </c>
      <c r="J33" s="12" t="s">
        <v>90</v>
      </c>
    </row>
    <row r="34" spans="1:10" ht="22" customHeight="1">
      <c r="A34" s="10" t="s">
        <v>90</v>
      </c>
      <c r="B34" s="11" t="s">
        <v>90</v>
      </c>
      <c r="C34" s="12" t="s">
        <v>90</v>
      </c>
      <c r="D34" s="13" t="s">
        <v>90</v>
      </c>
      <c r="E34" s="10" t="s">
        <v>90</v>
      </c>
      <c r="F34" s="12" t="str">
        <f>IF(A34="","", IFERROR(INDEX(سجل_الحجوزات!$E$4:$E$100, MATCH(A34, سجل_الحجوزات!$B$4:$B$100, 0)), "-"))</f>
        <v/>
      </c>
      <c r="G34" s="11" t="str">
        <f>IF(A34="","", IFERROR(INDEX(سجل_الحجوزات!$G$4:$G$100, MATCH(A34, سجل_الحجوزات!$B$4:$B$100, 0)), "-"))</f>
        <v/>
      </c>
      <c r="H34" s="11" t="str">
        <f>IF(A34="","", IFERROR(INDEX(سجل_الحجوزات!$H$4:$H$100, MATCH(A34, سجل_الحجوزات!$B$4:$B$100, 0)), "-"))</f>
        <v/>
      </c>
      <c r="I34" s="13" t="str">
        <f>IF(A34="","", SUMIF(سجل_الحجوزات!$B$4:$B$100, A34, سجل_الحجوزات!$L$4:$L$100))</f>
        <v/>
      </c>
      <c r="J34" s="12" t="s">
        <v>90</v>
      </c>
    </row>
    <row r="35" spans="1:10" ht="22" customHeight="1">
      <c r="A35" s="10" t="s">
        <v>90</v>
      </c>
      <c r="B35" s="11" t="s">
        <v>90</v>
      </c>
      <c r="C35" s="12" t="s">
        <v>90</v>
      </c>
      <c r="D35" s="13" t="s">
        <v>90</v>
      </c>
      <c r="E35" s="10" t="s">
        <v>90</v>
      </c>
      <c r="F35" s="12" t="str">
        <f>IF(A35="","", IFERROR(INDEX(سجل_الحجوزات!$E$4:$E$100, MATCH(A35, سجل_الحجوزات!$B$4:$B$100, 0)), "-"))</f>
        <v/>
      </c>
      <c r="G35" s="11" t="str">
        <f>IF(A35="","", IFERROR(INDEX(سجل_الحجوزات!$G$4:$G$100, MATCH(A35, سجل_الحجوزات!$B$4:$B$100, 0)), "-"))</f>
        <v/>
      </c>
      <c r="H35" s="11" t="str">
        <f>IF(A35="","", IFERROR(INDEX(سجل_الحجوزات!$H$4:$H$100, MATCH(A35, سجل_الحجوزات!$B$4:$B$100, 0)), "-"))</f>
        <v/>
      </c>
      <c r="I35" s="13" t="str">
        <f>IF(A35="","", SUMIF(سجل_الحجوزات!$B$4:$B$100, A35, سجل_الحجوزات!$L$4:$L$100))</f>
        <v/>
      </c>
      <c r="J35" s="12" t="s">
        <v>90</v>
      </c>
    </row>
    <row r="36" spans="1:10" ht="22" customHeight="1">
      <c r="A36" s="10" t="s">
        <v>90</v>
      </c>
      <c r="B36" s="11" t="s">
        <v>90</v>
      </c>
      <c r="C36" s="12" t="s">
        <v>90</v>
      </c>
      <c r="D36" s="13" t="s">
        <v>90</v>
      </c>
      <c r="E36" s="10" t="s">
        <v>90</v>
      </c>
      <c r="F36" s="12" t="str">
        <f>IF(A36="","", IFERROR(INDEX(سجل_الحجوزات!$E$4:$E$100, MATCH(A36, سجل_الحجوزات!$B$4:$B$100, 0)), "-"))</f>
        <v/>
      </c>
      <c r="G36" s="11" t="str">
        <f>IF(A36="","", IFERROR(INDEX(سجل_الحجوزات!$G$4:$G$100, MATCH(A36, سجل_الحجوزات!$B$4:$B$100, 0)), "-"))</f>
        <v/>
      </c>
      <c r="H36" s="11" t="str">
        <f>IF(A36="","", IFERROR(INDEX(سجل_الحجوزات!$H$4:$H$100, MATCH(A36, سجل_الحجوزات!$B$4:$B$100, 0)), "-"))</f>
        <v/>
      </c>
      <c r="I36" s="13" t="str">
        <f>IF(A36="","", SUMIF(سجل_الحجوزات!$B$4:$B$100, A36, سجل_الحجوزات!$L$4:$L$100))</f>
        <v/>
      </c>
      <c r="J36" s="12" t="s">
        <v>90</v>
      </c>
    </row>
    <row r="37" spans="1:10" ht="22" customHeight="1">
      <c r="A37" s="10" t="s">
        <v>90</v>
      </c>
      <c r="B37" s="11" t="s">
        <v>90</v>
      </c>
      <c r="C37" s="12" t="s">
        <v>90</v>
      </c>
      <c r="D37" s="13" t="s">
        <v>90</v>
      </c>
      <c r="E37" s="10" t="s">
        <v>90</v>
      </c>
      <c r="F37" s="12" t="str">
        <f>IF(A37="","", IFERROR(INDEX(سجل_الحجوزات!$E$4:$E$100, MATCH(A37, سجل_الحجوزات!$B$4:$B$100, 0)), "-"))</f>
        <v/>
      </c>
      <c r="G37" s="11" t="str">
        <f>IF(A37="","", IFERROR(INDEX(سجل_الحجوزات!$G$4:$G$100, MATCH(A37, سجل_الحجوزات!$B$4:$B$100, 0)), "-"))</f>
        <v/>
      </c>
      <c r="H37" s="11" t="str">
        <f>IF(A37="","", IFERROR(INDEX(سجل_الحجوزات!$H$4:$H$100, MATCH(A37, سجل_الحجوزات!$B$4:$B$100, 0)), "-"))</f>
        <v/>
      </c>
      <c r="I37" s="13" t="str">
        <f>IF(A37="","", SUMIF(سجل_الحجوزات!$B$4:$B$100, A37, سجل_الحجوزات!$L$4:$L$100))</f>
        <v/>
      </c>
      <c r="J37" s="12" t="s">
        <v>90</v>
      </c>
    </row>
    <row r="38" spans="1:10" ht="22" customHeight="1">
      <c r="A38" s="10" t="s">
        <v>90</v>
      </c>
      <c r="B38" s="11" t="s">
        <v>90</v>
      </c>
      <c r="C38" s="12" t="s">
        <v>90</v>
      </c>
      <c r="D38" s="13" t="s">
        <v>90</v>
      </c>
      <c r="E38" s="10" t="s">
        <v>90</v>
      </c>
      <c r="F38" s="12" t="str">
        <f>IF(A38="","", IFERROR(INDEX(سجل_الحجوزات!$E$4:$E$100, MATCH(A38, سجل_الحجوزات!$B$4:$B$100, 0)), "-"))</f>
        <v/>
      </c>
      <c r="G38" s="11" t="str">
        <f>IF(A38="","", IFERROR(INDEX(سجل_الحجوزات!$G$4:$G$100, MATCH(A38, سجل_الحجوزات!$B$4:$B$100, 0)), "-"))</f>
        <v/>
      </c>
      <c r="H38" s="11" t="str">
        <f>IF(A38="","", IFERROR(INDEX(سجل_الحجوزات!$H$4:$H$100, MATCH(A38, سجل_الحجوزات!$B$4:$B$100, 0)), "-"))</f>
        <v/>
      </c>
      <c r="I38" s="13" t="str">
        <f>IF(A38="","", SUMIF(سجل_الحجوزات!$B$4:$B$100, A38, سجل_الحجوزات!$L$4:$L$100))</f>
        <v/>
      </c>
      <c r="J38" s="12" t="s">
        <v>90</v>
      </c>
    </row>
    <row r="39" spans="1:10" ht="22" customHeight="1">
      <c r="A39" s="10" t="s">
        <v>90</v>
      </c>
      <c r="B39" s="11" t="s">
        <v>90</v>
      </c>
      <c r="C39" s="12" t="s">
        <v>90</v>
      </c>
      <c r="D39" s="13" t="s">
        <v>90</v>
      </c>
      <c r="E39" s="10" t="s">
        <v>90</v>
      </c>
      <c r="F39" s="12" t="str">
        <f>IF(A39="","", IFERROR(INDEX(سجل_الحجوزات!$E$4:$E$100, MATCH(A39, سجل_الحجوزات!$B$4:$B$100, 0)), "-"))</f>
        <v/>
      </c>
      <c r="G39" s="11" t="str">
        <f>IF(A39="","", IFERROR(INDEX(سجل_الحجوزات!$G$4:$G$100, MATCH(A39, سجل_الحجوزات!$B$4:$B$100, 0)), "-"))</f>
        <v/>
      </c>
      <c r="H39" s="11" t="str">
        <f>IF(A39="","", IFERROR(INDEX(سجل_الحجوزات!$H$4:$H$100, MATCH(A39, سجل_الحجوزات!$B$4:$B$100, 0)), "-"))</f>
        <v/>
      </c>
      <c r="I39" s="13" t="str">
        <f>IF(A39="","", SUMIF(سجل_الحجوزات!$B$4:$B$100, A39, سجل_الحجوزات!$L$4:$L$100))</f>
        <v/>
      </c>
      <c r="J39" s="12" t="s">
        <v>90</v>
      </c>
    </row>
    <row r="40" spans="1:10" ht="22" customHeight="1">
      <c r="A40" s="10" t="s">
        <v>90</v>
      </c>
      <c r="B40" s="11" t="s">
        <v>90</v>
      </c>
      <c r="C40" s="12" t="s">
        <v>90</v>
      </c>
      <c r="D40" s="13" t="s">
        <v>90</v>
      </c>
      <c r="E40" s="10" t="s">
        <v>90</v>
      </c>
      <c r="F40" s="12" t="str">
        <f>IF(A40="","", IFERROR(INDEX(سجل_الحجوزات!$E$4:$E$100, MATCH(A40, سجل_الحجوزات!$B$4:$B$100, 0)), "-"))</f>
        <v/>
      </c>
      <c r="G40" s="11" t="str">
        <f>IF(A40="","", IFERROR(INDEX(سجل_الحجوزات!$G$4:$G$100, MATCH(A40, سجل_الحجوزات!$B$4:$B$100, 0)), "-"))</f>
        <v/>
      </c>
      <c r="H40" s="11" t="str">
        <f>IF(A40="","", IFERROR(INDEX(سجل_الحجوزات!$H$4:$H$100, MATCH(A40, سجل_الحجوزات!$B$4:$B$100, 0)), "-"))</f>
        <v/>
      </c>
      <c r="I40" s="13" t="str">
        <f>IF(A40="","", SUMIF(سجل_الحجوزات!$B$4:$B$100, A40, سجل_الحجوزات!$L$4:$L$100))</f>
        <v/>
      </c>
      <c r="J40" s="12" t="s">
        <v>90</v>
      </c>
    </row>
    <row r="41" spans="1:10" ht="22" customHeight="1">
      <c r="A41" s="10" t="s">
        <v>90</v>
      </c>
      <c r="B41" s="11" t="s">
        <v>90</v>
      </c>
      <c r="C41" s="12" t="s">
        <v>90</v>
      </c>
      <c r="D41" s="13" t="s">
        <v>90</v>
      </c>
      <c r="E41" s="10" t="s">
        <v>90</v>
      </c>
      <c r="F41" s="12" t="str">
        <f>IF(A41="","", IFERROR(INDEX(سجل_الحجوزات!$E$4:$E$100, MATCH(A41, سجل_الحجوزات!$B$4:$B$100, 0)), "-"))</f>
        <v/>
      </c>
      <c r="G41" s="11" t="str">
        <f>IF(A41="","", IFERROR(INDEX(سجل_الحجوزات!$G$4:$G$100, MATCH(A41, سجل_الحجوزات!$B$4:$B$100, 0)), "-"))</f>
        <v/>
      </c>
      <c r="H41" s="11" t="str">
        <f>IF(A41="","", IFERROR(INDEX(سجل_الحجوزات!$H$4:$H$100, MATCH(A41, سجل_الحجوزات!$B$4:$B$100, 0)), "-"))</f>
        <v/>
      </c>
      <c r="I41" s="13" t="str">
        <f>IF(A41="","", SUMIF(سجل_الحجوزات!$B$4:$B$100, A41, سجل_الحجوزات!$L$4:$L$100))</f>
        <v/>
      </c>
      <c r="J41" s="12" t="s">
        <v>90</v>
      </c>
    </row>
    <row r="42" spans="1:10" ht="22" customHeight="1">
      <c r="A42" s="10" t="s">
        <v>90</v>
      </c>
      <c r="B42" s="11" t="s">
        <v>90</v>
      </c>
      <c r="C42" s="12" t="s">
        <v>90</v>
      </c>
      <c r="D42" s="13" t="s">
        <v>90</v>
      </c>
      <c r="E42" s="10" t="s">
        <v>90</v>
      </c>
      <c r="F42" s="12" t="str">
        <f>IF(A42="","", IFERROR(INDEX(سجل_الحجوزات!$E$4:$E$100, MATCH(A42, سجل_الحجوزات!$B$4:$B$100, 0)), "-"))</f>
        <v/>
      </c>
      <c r="G42" s="11" t="str">
        <f>IF(A42="","", IFERROR(INDEX(سجل_الحجوزات!$G$4:$G$100, MATCH(A42, سجل_الحجوزات!$B$4:$B$100, 0)), "-"))</f>
        <v/>
      </c>
      <c r="H42" s="11" t="str">
        <f>IF(A42="","", IFERROR(INDEX(سجل_الحجوزات!$H$4:$H$100, MATCH(A42, سجل_الحجوزات!$B$4:$B$100, 0)), "-"))</f>
        <v/>
      </c>
      <c r="I42" s="13" t="str">
        <f>IF(A42="","", SUMIF(سجل_الحجوزات!$B$4:$B$100, A42, سجل_الحجوزات!$L$4:$L$100))</f>
        <v/>
      </c>
      <c r="J42" s="12" t="s">
        <v>90</v>
      </c>
    </row>
    <row r="43" spans="1:10" ht="22" customHeight="1">
      <c r="A43" s="10" t="s">
        <v>90</v>
      </c>
      <c r="B43" s="11" t="s">
        <v>90</v>
      </c>
      <c r="C43" s="12" t="s">
        <v>90</v>
      </c>
      <c r="D43" s="13" t="s">
        <v>90</v>
      </c>
      <c r="E43" s="10" t="s">
        <v>90</v>
      </c>
      <c r="F43" s="12" t="str">
        <f>IF(A43="","", IFERROR(INDEX(سجل_الحجوزات!$E$4:$E$100, MATCH(A43, سجل_الحجوزات!$B$4:$B$100, 0)), "-"))</f>
        <v/>
      </c>
      <c r="G43" s="11" t="str">
        <f>IF(A43="","", IFERROR(INDEX(سجل_الحجوزات!$G$4:$G$100, MATCH(A43, سجل_الحجوزات!$B$4:$B$100, 0)), "-"))</f>
        <v/>
      </c>
      <c r="H43" s="11" t="str">
        <f>IF(A43="","", IFERROR(INDEX(سجل_الحجوزات!$H$4:$H$100, MATCH(A43, سجل_الحجوزات!$B$4:$B$100, 0)), "-"))</f>
        <v/>
      </c>
      <c r="I43" s="13" t="str">
        <f>IF(A43="","", SUMIF(سجل_الحجوزات!$B$4:$B$100, A43, سجل_الحجوزات!$L$4:$L$100))</f>
        <v/>
      </c>
      <c r="J43" s="12" t="s">
        <v>90</v>
      </c>
    </row>
    <row r="44" spans="1:10" ht="22" customHeight="1">
      <c r="A44" s="10" t="s">
        <v>90</v>
      </c>
      <c r="B44" s="11" t="s">
        <v>90</v>
      </c>
      <c r="C44" s="12" t="s">
        <v>90</v>
      </c>
      <c r="D44" s="13" t="s">
        <v>90</v>
      </c>
      <c r="E44" s="10" t="s">
        <v>90</v>
      </c>
      <c r="F44" s="12" t="str">
        <f>IF(A44="","", IFERROR(INDEX(سجل_الحجوزات!$E$4:$E$100, MATCH(A44, سجل_الحجوزات!$B$4:$B$100, 0)), "-"))</f>
        <v/>
      </c>
      <c r="G44" s="11" t="str">
        <f>IF(A44="","", IFERROR(INDEX(سجل_الحجوزات!$G$4:$G$100, MATCH(A44, سجل_الحجوزات!$B$4:$B$100, 0)), "-"))</f>
        <v/>
      </c>
      <c r="H44" s="11" t="str">
        <f>IF(A44="","", IFERROR(INDEX(سجل_الحجوزات!$H$4:$H$100, MATCH(A44, سجل_الحجوزات!$B$4:$B$100, 0)), "-"))</f>
        <v/>
      </c>
      <c r="I44" s="13" t="str">
        <f>IF(A44="","", SUMIF(سجل_الحجوزات!$B$4:$B$100, A44, سجل_الحجوزات!$L$4:$L$100))</f>
        <v/>
      </c>
      <c r="J44" s="12" t="s">
        <v>90</v>
      </c>
    </row>
    <row r="45" spans="1:10" ht="22" customHeight="1">
      <c r="A45" s="10" t="s">
        <v>90</v>
      </c>
      <c r="B45" s="11" t="s">
        <v>90</v>
      </c>
      <c r="C45" s="12" t="s">
        <v>90</v>
      </c>
      <c r="D45" s="13" t="s">
        <v>90</v>
      </c>
      <c r="E45" s="10" t="s">
        <v>90</v>
      </c>
      <c r="F45" s="12" t="str">
        <f>IF(A45="","", IFERROR(INDEX(سجل_الحجوزات!$E$4:$E$100, MATCH(A45, سجل_الحجوزات!$B$4:$B$100, 0)), "-"))</f>
        <v/>
      </c>
      <c r="G45" s="11" t="str">
        <f>IF(A45="","", IFERROR(INDEX(سجل_الحجوزات!$G$4:$G$100, MATCH(A45, سجل_الحجوزات!$B$4:$B$100, 0)), "-"))</f>
        <v/>
      </c>
      <c r="H45" s="11" t="str">
        <f>IF(A45="","", IFERROR(INDEX(سجل_الحجوزات!$H$4:$H$100, MATCH(A45, سجل_الحجوزات!$B$4:$B$100, 0)), "-"))</f>
        <v/>
      </c>
      <c r="I45" s="13" t="str">
        <f>IF(A45="","", SUMIF(سجل_الحجوزات!$B$4:$B$100, A45, سجل_الحجوزات!$L$4:$L$100))</f>
        <v/>
      </c>
      <c r="J45" s="12" t="s">
        <v>90</v>
      </c>
    </row>
    <row r="46" spans="1:10" ht="22" customHeight="1">
      <c r="A46" s="10" t="s">
        <v>90</v>
      </c>
      <c r="B46" s="11" t="s">
        <v>90</v>
      </c>
      <c r="C46" s="12" t="s">
        <v>90</v>
      </c>
      <c r="D46" s="13" t="s">
        <v>90</v>
      </c>
      <c r="E46" s="10" t="s">
        <v>90</v>
      </c>
      <c r="F46" s="12" t="str">
        <f>IF(A46="","", IFERROR(INDEX(سجل_الحجوزات!$E$4:$E$100, MATCH(A46, سجل_الحجوزات!$B$4:$B$100, 0)), "-"))</f>
        <v/>
      </c>
      <c r="G46" s="11" t="str">
        <f>IF(A46="","", IFERROR(INDEX(سجل_الحجوزات!$G$4:$G$100, MATCH(A46, سجل_الحجوزات!$B$4:$B$100, 0)), "-"))</f>
        <v/>
      </c>
      <c r="H46" s="11" t="str">
        <f>IF(A46="","", IFERROR(INDEX(سجل_الحجوزات!$H$4:$H$100, MATCH(A46, سجل_الحجوزات!$B$4:$B$100, 0)), "-"))</f>
        <v/>
      </c>
      <c r="I46" s="13" t="str">
        <f>IF(A46="","", SUMIF(سجل_الحجوزات!$B$4:$B$100, A46, سجل_الحجوزات!$L$4:$L$100))</f>
        <v/>
      </c>
      <c r="J46" s="12" t="s">
        <v>90</v>
      </c>
    </row>
    <row r="47" spans="1:10" ht="22" customHeight="1">
      <c r="A47" s="10" t="s">
        <v>90</v>
      </c>
      <c r="B47" s="11" t="s">
        <v>90</v>
      </c>
      <c r="C47" s="12" t="s">
        <v>90</v>
      </c>
      <c r="D47" s="13" t="s">
        <v>90</v>
      </c>
      <c r="E47" s="10" t="s">
        <v>90</v>
      </c>
      <c r="F47" s="12" t="str">
        <f>IF(A47="","", IFERROR(INDEX(سجل_الحجوزات!$E$4:$E$100, MATCH(A47, سجل_الحجوزات!$B$4:$B$100, 0)), "-"))</f>
        <v/>
      </c>
      <c r="G47" s="11" t="str">
        <f>IF(A47="","", IFERROR(INDEX(سجل_الحجوزات!$G$4:$G$100, MATCH(A47, سجل_الحجوزات!$B$4:$B$100, 0)), "-"))</f>
        <v/>
      </c>
      <c r="H47" s="11" t="str">
        <f>IF(A47="","", IFERROR(INDEX(سجل_الحجوزات!$H$4:$H$100, MATCH(A47, سجل_الحجوزات!$B$4:$B$100, 0)), "-"))</f>
        <v/>
      </c>
      <c r="I47" s="13" t="str">
        <f>IF(A47="","", SUMIF(سجل_الحجوزات!$B$4:$B$100, A47, سجل_الحجوزات!$L$4:$L$100))</f>
        <v/>
      </c>
      <c r="J47" s="12" t="s">
        <v>90</v>
      </c>
    </row>
    <row r="48" spans="1:10" ht="22" customHeight="1">
      <c r="A48" s="10" t="s">
        <v>90</v>
      </c>
      <c r="B48" s="11" t="s">
        <v>90</v>
      </c>
      <c r="C48" s="12" t="s">
        <v>90</v>
      </c>
      <c r="D48" s="13" t="s">
        <v>90</v>
      </c>
      <c r="E48" s="10" t="s">
        <v>90</v>
      </c>
      <c r="F48" s="12" t="str">
        <f>IF(A48="","", IFERROR(INDEX(سجل_الحجوزات!$E$4:$E$100, MATCH(A48, سجل_الحجوزات!$B$4:$B$100, 0)), "-"))</f>
        <v/>
      </c>
      <c r="G48" s="11" t="str">
        <f>IF(A48="","", IFERROR(INDEX(سجل_الحجوزات!$G$4:$G$100, MATCH(A48, سجل_الحجوزات!$B$4:$B$100, 0)), "-"))</f>
        <v/>
      </c>
      <c r="H48" s="11" t="str">
        <f>IF(A48="","", IFERROR(INDEX(سجل_الحجوزات!$H$4:$H$100, MATCH(A48, سجل_الحجوزات!$B$4:$B$100, 0)), "-"))</f>
        <v/>
      </c>
      <c r="I48" s="13" t="str">
        <f>IF(A48="","", SUMIF(سجل_الحجوزات!$B$4:$B$100, A48, سجل_الحجوزات!$L$4:$L$100))</f>
        <v/>
      </c>
      <c r="J48" s="12" t="s">
        <v>90</v>
      </c>
    </row>
    <row r="49" spans="1:10" ht="22" customHeight="1">
      <c r="A49" s="10" t="s">
        <v>90</v>
      </c>
      <c r="B49" s="11" t="s">
        <v>90</v>
      </c>
      <c r="C49" s="12" t="s">
        <v>90</v>
      </c>
      <c r="D49" s="13" t="s">
        <v>90</v>
      </c>
      <c r="E49" s="10" t="s">
        <v>90</v>
      </c>
      <c r="F49" s="12" t="str">
        <f>IF(A49="","", IFERROR(INDEX(سجل_الحجوزات!$E$4:$E$100, MATCH(A49, سجل_الحجوزات!$B$4:$B$100, 0)), "-"))</f>
        <v/>
      </c>
      <c r="G49" s="11" t="str">
        <f>IF(A49="","", IFERROR(INDEX(سجل_الحجوزات!$G$4:$G$100, MATCH(A49, سجل_الحجوزات!$B$4:$B$100, 0)), "-"))</f>
        <v/>
      </c>
      <c r="H49" s="11" t="str">
        <f>IF(A49="","", IFERROR(INDEX(سجل_الحجوزات!$H$4:$H$100, MATCH(A49, سجل_الحجوزات!$B$4:$B$100, 0)), "-"))</f>
        <v/>
      </c>
      <c r="I49" s="13" t="str">
        <f>IF(A49="","", SUMIF(سجل_الحجوزات!$B$4:$B$100, A49, سجل_الحجوزات!$L$4:$L$100))</f>
        <v/>
      </c>
      <c r="J49" s="12" t="s">
        <v>90</v>
      </c>
    </row>
    <row r="50" spans="1:10" ht="22" customHeight="1">
      <c r="A50" s="10" t="s">
        <v>90</v>
      </c>
      <c r="B50" s="11" t="s">
        <v>90</v>
      </c>
      <c r="C50" s="12" t="s">
        <v>90</v>
      </c>
      <c r="D50" s="13" t="s">
        <v>90</v>
      </c>
      <c r="E50" s="10" t="s">
        <v>90</v>
      </c>
      <c r="F50" s="12" t="str">
        <f>IF(A50="","", IFERROR(INDEX(سجل_الحجوزات!$E$4:$E$100, MATCH(A50, سجل_الحجوزات!$B$4:$B$100, 0)), "-"))</f>
        <v/>
      </c>
      <c r="G50" s="11" t="str">
        <f>IF(A50="","", IFERROR(INDEX(سجل_الحجوزات!$G$4:$G$100, MATCH(A50, سجل_الحجوزات!$B$4:$B$100, 0)), "-"))</f>
        <v/>
      </c>
      <c r="H50" s="11" t="str">
        <f>IF(A50="","", IFERROR(INDEX(سجل_الحجوزات!$H$4:$H$100, MATCH(A50, سجل_الحجوزات!$B$4:$B$100, 0)), "-"))</f>
        <v/>
      </c>
      <c r="I50" s="13" t="str">
        <f>IF(A50="","", SUMIF(سجل_الحجوزات!$B$4:$B$100, A50, سجل_الحجوزات!$L$4:$L$100))</f>
        <v/>
      </c>
      <c r="J50" s="12" t="s">
        <v>90</v>
      </c>
    </row>
    <row r="51" spans="1:10" ht="22" customHeight="1">
      <c r="A51" s="10" t="s">
        <v>90</v>
      </c>
      <c r="B51" s="11" t="s">
        <v>90</v>
      </c>
      <c r="C51" s="12" t="s">
        <v>90</v>
      </c>
      <c r="D51" s="13" t="s">
        <v>90</v>
      </c>
      <c r="E51" s="10" t="s">
        <v>90</v>
      </c>
      <c r="F51" s="12" t="str">
        <f>IF(A51="","", IFERROR(INDEX(سجل_الحجوزات!$E$4:$E$100, MATCH(A51, سجل_الحجوزات!$B$4:$B$100, 0)), "-"))</f>
        <v/>
      </c>
      <c r="G51" s="11" t="str">
        <f>IF(A51="","", IFERROR(INDEX(سجل_الحجوزات!$G$4:$G$100, MATCH(A51, سجل_الحجوزات!$B$4:$B$100, 0)), "-"))</f>
        <v/>
      </c>
      <c r="H51" s="11" t="str">
        <f>IF(A51="","", IFERROR(INDEX(سجل_الحجوزات!$H$4:$H$100, MATCH(A51, سجل_الحجوزات!$B$4:$B$100, 0)), "-"))</f>
        <v/>
      </c>
      <c r="I51" s="13" t="str">
        <f>IF(A51="","", SUMIF(سجل_الحجوزات!$B$4:$B$100, A51, سجل_الحجوزات!$L$4:$L$100))</f>
        <v/>
      </c>
      <c r="J51" s="12" t="s">
        <v>90</v>
      </c>
    </row>
    <row r="52" spans="1:10" ht="22" customHeight="1">
      <c r="A52" s="10" t="s">
        <v>90</v>
      </c>
      <c r="B52" s="11" t="s">
        <v>90</v>
      </c>
      <c r="C52" s="12" t="s">
        <v>90</v>
      </c>
      <c r="D52" s="13" t="s">
        <v>90</v>
      </c>
      <c r="E52" s="10" t="s">
        <v>90</v>
      </c>
      <c r="F52" s="12" t="str">
        <f>IF(A52="","", IFERROR(INDEX(سجل_الحجوزات!$E$4:$E$100, MATCH(A52, سجل_الحجوزات!$B$4:$B$100, 0)), "-"))</f>
        <v/>
      </c>
      <c r="G52" s="11" t="str">
        <f>IF(A52="","", IFERROR(INDEX(سجل_الحجوزات!$G$4:$G$100, MATCH(A52, سجل_الحجوزات!$B$4:$B$100, 0)), "-"))</f>
        <v/>
      </c>
      <c r="H52" s="11" t="str">
        <f>IF(A52="","", IFERROR(INDEX(سجل_الحجوزات!$H$4:$H$100, MATCH(A52, سجل_الحجوزات!$B$4:$B$100, 0)), "-"))</f>
        <v/>
      </c>
      <c r="I52" s="13" t="str">
        <f>IF(A52="","", SUMIF(سجل_الحجوزات!$B$4:$B$100, A52, سجل_الحجوزات!$L$4:$L$100))</f>
        <v/>
      </c>
      <c r="J52" s="12" t="s">
        <v>90</v>
      </c>
    </row>
    <row r="53" spans="1:10" ht="22" customHeight="1">
      <c r="A53" s="10" t="s">
        <v>90</v>
      </c>
      <c r="B53" s="11" t="s">
        <v>90</v>
      </c>
      <c r="C53" s="12" t="s">
        <v>90</v>
      </c>
      <c r="D53" s="13" t="s">
        <v>90</v>
      </c>
      <c r="E53" s="10" t="s">
        <v>90</v>
      </c>
      <c r="F53" s="12" t="str">
        <f>IF(A53="","", IFERROR(INDEX(سجل_الحجوزات!$E$4:$E$100, MATCH(A53, سجل_الحجوزات!$B$4:$B$100, 0)), "-"))</f>
        <v/>
      </c>
      <c r="G53" s="11" t="str">
        <f>IF(A53="","", IFERROR(INDEX(سجل_الحجوزات!$G$4:$G$100, MATCH(A53, سجل_الحجوزات!$B$4:$B$100, 0)), "-"))</f>
        <v/>
      </c>
      <c r="H53" s="11" t="str">
        <f>IF(A53="","", IFERROR(INDEX(سجل_الحجوزات!$H$4:$H$100, MATCH(A53, سجل_الحجوزات!$B$4:$B$100, 0)), "-"))</f>
        <v/>
      </c>
      <c r="I53" s="13" t="str">
        <f>IF(A53="","", SUMIF(سجل_الحجوزات!$B$4:$B$100, A53, سجل_الحجوزات!$L$4:$L$100))</f>
        <v/>
      </c>
      <c r="J53" s="12" t="s">
        <v>90</v>
      </c>
    </row>
    <row r="54" spans="1:10" ht="22" customHeight="1">
      <c r="A54" s="10" t="s">
        <v>90</v>
      </c>
      <c r="B54" s="11" t="s">
        <v>90</v>
      </c>
      <c r="C54" s="12" t="s">
        <v>90</v>
      </c>
      <c r="D54" s="13" t="s">
        <v>90</v>
      </c>
      <c r="E54" s="10" t="s">
        <v>90</v>
      </c>
      <c r="F54" s="12" t="str">
        <f>IF(A54="","", IFERROR(INDEX(سجل_الحجوزات!$E$4:$E$100, MATCH(A54, سجل_الحجوزات!$B$4:$B$100, 0)), "-"))</f>
        <v/>
      </c>
      <c r="G54" s="11" t="str">
        <f>IF(A54="","", IFERROR(INDEX(سجل_الحجوزات!$G$4:$G$100, MATCH(A54, سجل_الحجوزات!$B$4:$B$100, 0)), "-"))</f>
        <v/>
      </c>
      <c r="H54" s="11" t="str">
        <f>IF(A54="","", IFERROR(INDEX(سجل_الحجوزات!$H$4:$H$100, MATCH(A54, سجل_الحجوزات!$B$4:$B$100, 0)), "-"))</f>
        <v/>
      </c>
      <c r="I54" s="13" t="str">
        <f>IF(A54="","", SUMIF(سجل_الحجوزات!$B$4:$B$100, A54, سجل_الحجوزات!$L$4:$L$100))</f>
        <v/>
      </c>
      <c r="J54" s="12" t="s">
        <v>90</v>
      </c>
    </row>
    <row r="55" spans="1:10" ht="22" customHeight="1">
      <c r="A55" s="10" t="s">
        <v>90</v>
      </c>
      <c r="B55" s="11" t="s">
        <v>90</v>
      </c>
      <c r="C55" s="12" t="s">
        <v>90</v>
      </c>
      <c r="D55" s="13" t="s">
        <v>90</v>
      </c>
      <c r="E55" s="10" t="s">
        <v>90</v>
      </c>
      <c r="F55" s="12" t="str">
        <f>IF(A55="","", IFERROR(INDEX(سجل_الحجوزات!$E$4:$E$100, MATCH(A55, سجل_الحجوزات!$B$4:$B$100, 0)), "-"))</f>
        <v/>
      </c>
      <c r="G55" s="11" t="str">
        <f>IF(A55="","", IFERROR(INDEX(سجل_الحجوزات!$G$4:$G$100, MATCH(A55, سجل_الحجوزات!$B$4:$B$100, 0)), "-"))</f>
        <v/>
      </c>
      <c r="H55" s="11" t="str">
        <f>IF(A55="","", IFERROR(INDEX(سجل_الحجوزات!$H$4:$H$100, MATCH(A55, سجل_الحجوزات!$B$4:$B$100, 0)), "-"))</f>
        <v/>
      </c>
      <c r="I55" s="13" t="str">
        <f>IF(A55="","", SUMIF(سجل_الحجوزات!$B$4:$B$100, A55, سجل_الحجوزات!$L$4:$L$100))</f>
        <v/>
      </c>
      <c r="J55" s="12" t="s">
        <v>90</v>
      </c>
    </row>
    <row r="56" spans="1:10" ht="22" customHeight="1">
      <c r="A56" s="10" t="s">
        <v>90</v>
      </c>
      <c r="B56" s="11" t="s">
        <v>90</v>
      </c>
      <c r="C56" s="12" t="s">
        <v>90</v>
      </c>
      <c r="D56" s="13" t="s">
        <v>90</v>
      </c>
      <c r="E56" s="10" t="s">
        <v>90</v>
      </c>
      <c r="F56" s="12" t="str">
        <f>IF(A56="","", IFERROR(INDEX(سجل_الحجوزات!$E$4:$E$100, MATCH(A56, سجل_الحجوزات!$B$4:$B$100, 0)), "-"))</f>
        <v/>
      </c>
      <c r="G56" s="11" t="str">
        <f>IF(A56="","", IFERROR(INDEX(سجل_الحجوزات!$G$4:$G$100, MATCH(A56, سجل_الحجوزات!$B$4:$B$100, 0)), "-"))</f>
        <v/>
      </c>
      <c r="H56" s="11" t="str">
        <f>IF(A56="","", IFERROR(INDEX(سجل_الحجوزات!$H$4:$H$100, MATCH(A56, سجل_الحجوزات!$B$4:$B$100, 0)), "-"))</f>
        <v/>
      </c>
      <c r="I56" s="13" t="str">
        <f>IF(A56="","", SUMIF(سجل_الحجوزات!$B$4:$B$100, A56, سجل_الحجوزات!$L$4:$L$100))</f>
        <v/>
      </c>
      <c r="J56" s="12" t="s">
        <v>90</v>
      </c>
    </row>
    <row r="57" spans="1:10" ht="22" customHeight="1">
      <c r="A57" s="10" t="s">
        <v>90</v>
      </c>
      <c r="B57" s="11" t="s">
        <v>90</v>
      </c>
      <c r="C57" s="12" t="s">
        <v>90</v>
      </c>
      <c r="D57" s="13" t="s">
        <v>90</v>
      </c>
      <c r="E57" s="10" t="s">
        <v>90</v>
      </c>
      <c r="F57" s="12" t="str">
        <f>IF(A57="","", IFERROR(INDEX(سجل_الحجوزات!$E$4:$E$100, MATCH(A57, سجل_الحجوزات!$B$4:$B$100, 0)), "-"))</f>
        <v/>
      </c>
      <c r="G57" s="11" t="str">
        <f>IF(A57="","", IFERROR(INDEX(سجل_الحجوزات!$G$4:$G$100, MATCH(A57, سجل_الحجوزات!$B$4:$B$100, 0)), "-"))</f>
        <v/>
      </c>
      <c r="H57" s="11" t="str">
        <f>IF(A57="","", IFERROR(INDEX(سجل_الحجوزات!$H$4:$H$100, MATCH(A57, سجل_الحجوزات!$B$4:$B$100, 0)), "-"))</f>
        <v/>
      </c>
      <c r="I57" s="13" t="str">
        <f>IF(A57="","", SUMIF(سجل_الحجوزات!$B$4:$B$100, A57, سجل_الحجوزات!$L$4:$L$100))</f>
        <v/>
      </c>
      <c r="J57" s="12" t="s">
        <v>90</v>
      </c>
    </row>
    <row r="58" spans="1:10" ht="26" customHeight="1">
      <c r="A58" s="31" t="s">
        <v>91</v>
      </c>
      <c r="B58" s="31"/>
      <c r="C58" s="31"/>
      <c r="D58" s="14">
        <f>AVERAGE(D8:D57)</f>
        <v>1458</v>
      </c>
      <c r="E58" s="24" t="s">
        <v>92</v>
      </c>
      <c r="F58" s="24"/>
      <c r="G58" s="24"/>
      <c r="H58" s="24"/>
      <c r="I58" s="15">
        <f>SUM(I8:I57)</f>
        <v>0</v>
      </c>
      <c r="J58" s="16" t="s">
        <v>93</v>
      </c>
    </row>
  </sheetData>
  <mergeCells count="11">
    <mergeCell ref="A4:B4"/>
    <mergeCell ref="C4:D4"/>
    <mergeCell ref="E4:F4"/>
    <mergeCell ref="I4:J4"/>
    <mergeCell ref="A58:C58"/>
    <mergeCell ref="E58:H58"/>
    <mergeCell ref="A1:J1"/>
    <mergeCell ref="A3:B3"/>
    <mergeCell ref="C3:D3"/>
    <mergeCell ref="E3:F3"/>
    <mergeCell ref="I3:J3"/>
  </mergeCells>
  <conditionalFormatting sqref="A8:J57">
    <cfRule type="expression" dxfId="4" priority="1">
      <formula>$E8="ساكن"</formula>
    </cfRule>
    <cfRule type="expression" dxfId="3" priority="2">
      <formula>$E8="محجوزة"</formula>
    </cfRule>
    <cfRule type="expression" dxfId="2" priority="3">
      <formula>$E8="متاحة"</formula>
    </cfRule>
    <cfRule type="expression" dxfId="1" priority="4">
      <formula>$E8="تحت التنظيف"</formula>
    </cfRule>
    <cfRule type="expression" dxfId="0" priority="5">
      <formula>$E8="صيانة"</formula>
    </cfRule>
  </conditionalFormatting>
  <dataValidations count="1">
    <dataValidation type="list" allowBlank="1" sqref="E8:E57" xr:uid="{00000000-0002-0000-0100-000000000000}">
      <formula1>قائمة_حالات_الغرفة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rightToLeft="1" workbookViewId="0">
      <selection sqref="A1:N1"/>
    </sheetView>
  </sheetViews>
  <sheetFormatPr defaultRowHeight="14.5"/>
  <cols>
    <col min="1" max="1" width="14" customWidth="1"/>
    <col min="2" max="3" width="16" customWidth="1"/>
    <col min="4" max="4" width="22" customWidth="1"/>
    <col min="5" max="5" width="25" customWidth="1"/>
    <col min="6" max="6" width="18" customWidth="1"/>
    <col min="7" max="8" width="14" customWidth="1"/>
    <col min="9" max="9" width="16" customWidth="1"/>
    <col min="10" max="10" width="18" customWidth="1"/>
    <col min="11" max="11" width="20" customWidth="1"/>
    <col min="12" max="13" width="18" customWidth="1"/>
    <col min="14" max="14" width="24" customWidth="1"/>
  </cols>
  <sheetData>
    <row r="1" spans="1:14" ht="36" customHeight="1">
      <c r="A1" s="32" t="s">
        <v>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1:14" ht="28" customHeight="1">
      <c r="A3" s="17" t="s">
        <v>95</v>
      </c>
      <c r="B3" s="17" t="s">
        <v>96</v>
      </c>
      <c r="C3" s="17" t="s">
        <v>97</v>
      </c>
      <c r="D3" s="17" t="s">
        <v>98</v>
      </c>
      <c r="E3" s="17" t="s">
        <v>99</v>
      </c>
      <c r="F3" s="17" t="s">
        <v>100</v>
      </c>
      <c r="G3" s="17" t="s">
        <v>25</v>
      </c>
      <c r="H3" s="17" t="s">
        <v>26</v>
      </c>
      <c r="I3" s="17" t="s">
        <v>101</v>
      </c>
      <c r="J3" s="17" t="s">
        <v>102</v>
      </c>
      <c r="K3" s="17" t="s">
        <v>103</v>
      </c>
      <c r="L3" s="17" t="s">
        <v>104</v>
      </c>
      <c r="M3" s="17" t="s">
        <v>105</v>
      </c>
      <c r="N3" s="17" t="s">
        <v>106</v>
      </c>
    </row>
    <row r="4" spans="1:14" ht="22" customHeight="1">
      <c r="A4" s="11" t="s">
        <v>107</v>
      </c>
      <c r="B4" s="11" t="s">
        <v>90</v>
      </c>
      <c r="C4" s="11" t="str">
        <f>IF(B4="","", IFERROR(VLOOKUP(B4, حالة_الغرف_والأسعار!$A$8:$D$60, 2, FALSE), ""))</f>
        <v/>
      </c>
      <c r="D4" s="12" t="str">
        <f>IF(B4="","", IFERROR(VLOOKUP(B4, حالة_الغرف_والأسعار!$A$8:$D$60, 3, FALSE), ""))</f>
        <v/>
      </c>
      <c r="E4" s="12" t="s">
        <v>90</v>
      </c>
      <c r="F4" s="12" t="s">
        <v>90</v>
      </c>
      <c r="G4" s="11" t="s">
        <v>90</v>
      </c>
      <c r="H4" s="11" t="s">
        <v>90</v>
      </c>
      <c r="I4" s="11" t="str">
        <f t="shared" ref="I4:I35" si="0">IF(AND(G4&lt;&gt;"", H4&lt;&gt;""), H4-G4, "")</f>
        <v/>
      </c>
      <c r="J4" s="18" t="str">
        <f>IF(B4="","", IFERROR(VLOOKUP(B4, حالة_الغرف_والأسعار!$A$8:$D$60, 4, FALSE), 0))</f>
        <v/>
      </c>
      <c r="K4" s="13" t="e">
        <f t="shared" ref="K4:K35" si="1">IF(AND(I4&gt;0, J4&gt;0), I4*J4, 0)</f>
        <v>#VALUE!</v>
      </c>
      <c r="L4" s="13">
        <v>0</v>
      </c>
      <c r="M4" s="13" t="e">
        <f t="shared" ref="M4:M35" si="2">IF(K4&gt;0, K4-L4, 0)</f>
        <v>#VALUE!</v>
      </c>
      <c r="N4" s="11" t="s">
        <v>90</v>
      </c>
    </row>
    <row r="5" spans="1:14" ht="22" customHeight="1">
      <c r="A5" s="11" t="s">
        <v>108</v>
      </c>
      <c r="B5" s="11" t="s">
        <v>90</v>
      </c>
      <c r="C5" s="11" t="str">
        <f>IF(B5="","", IFERROR(VLOOKUP(B5, حالة_الغرف_والأسعار!$A$8:$D$60, 2, FALSE), ""))</f>
        <v/>
      </c>
      <c r="D5" s="12" t="str">
        <f>IF(B5="","", IFERROR(VLOOKUP(B5, حالة_الغرف_والأسعار!$A$8:$D$60, 3, FALSE), ""))</f>
        <v/>
      </c>
      <c r="E5" s="12" t="s">
        <v>90</v>
      </c>
      <c r="F5" s="12" t="s">
        <v>90</v>
      </c>
      <c r="G5" s="11" t="s">
        <v>90</v>
      </c>
      <c r="H5" s="11" t="s">
        <v>90</v>
      </c>
      <c r="I5" s="11" t="str">
        <f t="shared" si="0"/>
        <v/>
      </c>
      <c r="J5" s="18" t="str">
        <f>IF(B5="","", IFERROR(VLOOKUP(B5, حالة_الغرف_والأسعار!$A$8:$D$60, 4, FALSE), 0))</f>
        <v/>
      </c>
      <c r="K5" s="13" t="e">
        <f t="shared" si="1"/>
        <v>#VALUE!</v>
      </c>
      <c r="L5" s="13">
        <v>0</v>
      </c>
      <c r="M5" s="13" t="e">
        <f t="shared" si="2"/>
        <v>#VALUE!</v>
      </c>
      <c r="N5" s="11" t="s">
        <v>90</v>
      </c>
    </row>
    <row r="6" spans="1:14" ht="22" customHeight="1">
      <c r="A6" s="11" t="s">
        <v>109</v>
      </c>
      <c r="B6" s="11" t="s">
        <v>90</v>
      </c>
      <c r="C6" s="11" t="str">
        <f>IF(B6="","", IFERROR(VLOOKUP(B6, حالة_الغرف_والأسعار!$A$8:$D$60, 2, FALSE), ""))</f>
        <v/>
      </c>
      <c r="D6" s="12" t="str">
        <f>IF(B6="","", IFERROR(VLOOKUP(B6, حالة_الغرف_والأسعار!$A$8:$D$60, 3, FALSE), ""))</f>
        <v/>
      </c>
      <c r="E6" s="12" t="s">
        <v>90</v>
      </c>
      <c r="F6" s="12" t="s">
        <v>90</v>
      </c>
      <c r="G6" s="11" t="s">
        <v>90</v>
      </c>
      <c r="H6" s="11" t="s">
        <v>90</v>
      </c>
      <c r="I6" s="11" t="str">
        <f t="shared" si="0"/>
        <v/>
      </c>
      <c r="J6" s="18" t="str">
        <f>IF(B6="","", IFERROR(VLOOKUP(B6, حالة_الغرف_والأسعار!$A$8:$D$60, 4, FALSE), 0))</f>
        <v/>
      </c>
      <c r="K6" s="13" t="e">
        <f t="shared" si="1"/>
        <v>#VALUE!</v>
      </c>
      <c r="L6" s="13">
        <v>0</v>
      </c>
      <c r="M6" s="13" t="e">
        <f t="shared" si="2"/>
        <v>#VALUE!</v>
      </c>
      <c r="N6" s="11" t="s">
        <v>90</v>
      </c>
    </row>
    <row r="7" spans="1:14" ht="22" customHeight="1">
      <c r="A7" s="11" t="s">
        <v>110</v>
      </c>
      <c r="B7" s="11" t="s">
        <v>90</v>
      </c>
      <c r="C7" s="11" t="str">
        <f>IF(B7="","", IFERROR(VLOOKUP(B7, حالة_الغرف_والأسعار!$A$8:$D$60, 2, FALSE), ""))</f>
        <v/>
      </c>
      <c r="D7" s="12" t="str">
        <f>IF(B7="","", IFERROR(VLOOKUP(B7, حالة_الغرف_والأسعار!$A$8:$D$60, 3, FALSE), ""))</f>
        <v/>
      </c>
      <c r="E7" s="12" t="s">
        <v>90</v>
      </c>
      <c r="F7" s="12" t="s">
        <v>90</v>
      </c>
      <c r="G7" s="11" t="s">
        <v>90</v>
      </c>
      <c r="H7" s="11" t="s">
        <v>90</v>
      </c>
      <c r="I7" s="11" t="str">
        <f t="shared" si="0"/>
        <v/>
      </c>
      <c r="J7" s="18" t="str">
        <f>IF(B7="","", IFERROR(VLOOKUP(B7, حالة_الغرف_والأسعار!$A$8:$D$60, 4, FALSE), 0))</f>
        <v/>
      </c>
      <c r="K7" s="13" t="e">
        <f t="shared" si="1"/>
        <v>#VALUE!</v>
      </c>
      <c r="L7" s="13">
        <v>0</v>
      </c>
      <c r="M7" s="13" t="e">
        <f t="shared" si="2"/>
        <v>#VALUE!</v>
      </c>
      <c r="N7" s="11" t="s">
        <v>90</v>
      </c>
    </row>
    <row r="8" spans="1:14" ht="22" customHeight="1">
      <c r="A8" s="11" t="s">
        <v>111</v>
      </c>
      <c r="B8" s="11" t="s">
        <v>90</v>
      </c>
      <c r="C8" s="11" t="str">
        <f>IF(B8="","", IFERROR(VLOOKUP(B8, حالة_الغرف_والأسعار!$A$8:$D$60, 2, FALSE), ""))</f>
        <v/>
      </c>
      <c r="D8" s="12" t="str">
        <f>IF(B8="","", IFERROR(VLOOKUP(B8, حالة_الغرف_والأسعار!$A$8:$D$60, 3, FALSE), ""))</f>
        <v/>
      </c>
      <c r="E8" s="12" t="s">
        <v>90</v>
      </c>
      <c r="F8" s="12" t="s">
        <v>90</v>
      </c>
      <c r="G8" s="11" t="s">
        <v>90</v>
      </c>
      <c r="H8" s="11" t="s">
        <v>90</v>
      </c>
      <c r="I8" s="11" t="str">
        <f t="shared" si="0"/>
        <v/>
      </c>
      <c r="J8" s="18" t="str">
        <f>IF(B8="","", IFERROR(VLOOKUP(B8, حالة_الغرف_والأسعار!$A$8:$D$60, 4, FALSE), 0))</f>
        <v/>
      </c>
      <c r="K8" s="13" t="e">
        <f t="shared" si="1"/>
        <v>#VALUE!</v>
      </c>
      <c r="L8" s="13">
        <v>0</v>
      </c>
      <c r="M8" s="13" t="e">
        <f t="shared" si="2"/>
        <v>#VALUE!</v>
      </c>
      <c r="N8" s="11" t="s">
        <v>90</v>
      </c>
    </row>
    <row r="9" spans="1:14" ht="22" customHeight="1">
      <c r="A9" s="11" t="s">
        <v>112</v>
      </c>
      <c r="B9" s="11" t="s">
        <v>90</v>
      </c>
      <c r="C9" s="11" t="str">
        <f>IF(B9="","", IFERROR(VLOOKUP(B9, حالة_الغرف_والأسعار!$A$8:$D$60, 2, FALSE), ""))</f>
        <v/>
      </c>
      <c r="D9" s="12" t="str">
        <f>IF(B9="","", IFERROR(VLOOKUP(B9, حالة_الغرف_والأسعار!$A$8:$D$60, 3, FALSE), ""))</f>
        <v/>
      </c>
      <c r="E9" s="12" t="s">
        <v>90</v>
      </c>
      <c r="F9" s="12" t="s">
        <v>90</v>
      </c>
      <c r="G9" s="11" t="s">
        <v>90</v>
      </c>
      <c r="H9" s="11" t="s">
        <v>90</v>
      </c>
      <c r="I9" s="11" t="str">
        <f t="shared" si="0"/>
        <v/>
      </c>
      <c r="J9" s="18" t="str">
        <f>IF(B9="","", IFERROR(VLOOKUP(B9, حالة_الغرف_والأسعار!$A$8:$D$60, 4, FALSE), 0))</f>
        <v/>
      </c>
      <c r="K9" s="13" t="e">
        <f t="shared" si="1"/>
        <v>#VALUE!</v>
      </c>
      <c r="L9" s="13">
        <v>0</v>
      </c>
      <c r="M9" s="13" t="e">
        <f t="shared" si="2"/>
        <v>#VALUE!</v>
      </c>
      <c r="N9" s="11" t="s">
        <v>90</v>
      </c>
    </row>
    <row r="10" spans="1:14" ht="22" customHeight="1">
      <c r="A10" s="11" t="s">
        <v>113</v>
      </c>
      <c r="B10" s="11" t="s">
        <v>90</v>
      </c>
      <c r="C10" s="11" t="str">
        <f>IF(B10="","", IFERROR(VLOOKUP(B10, حالة_الغرف_والأسعار!$A$8:$D$60, 2, FALSE), ""))</f>
        <v/>
      </c>
      <c r="D10" s="12" t="str">
        <f>IF(B10="","", IFERROR(VLOOKUP(B10, حالة_الغرف_والأسعار!$A$8:$D$60, 3, FALSE), ""))</f>
        <v/>
      </c>
      <c r="E10" s="12" t="s">
        <v>90</v>
      </c>
      <c r="F10" s="12" t="s">
        <v>90</v>
      </c>
      <c r="G10" s="11" t="s">
        <v>90</v>
      </c>
      <c r="H10" s="11" t="s">
        <v>90</v>
      </c>
      <c r="I10" s="11" t="str">
        <f t="shared" si="0"/>
        <v/>
      </c>
      <c r="J10" s="18" t="str">
        <f>IF(B10="","", IFERROR(VLOOKUP(B10, حالة_الغرف_والأسعار!$A$8:$D$60, 4, FALSE), 0))</f>
        <v/>
      </c>
      <c r="K10" s="13" t="e">
        <f t="shared" si="1"/>
        <v>#VALUE!</v>
      </c>
      <c r="L10" s="13">
        <v>0</v>
      </c>
      <c r="M10" s="13" t="e">
        <f t="shared" si="2"/>
        <v>#VALUE!</v>
      </c>
      <c r="N10" s="11" t="s">
        <v>90</v>
      </c>
    </row>
    <row r="11" spans="1:14" ht="22" customHeight="1">
      <c r="A11" s="11" t="s">
        <v>114</v>
      </c>
      <c r="B11" s="11" t="s">
        <v>90</v>
      </c>
      <c r="C11" s="11" t="str">
        <f>IF(B11="","", IFERROR(VLOOKUP(B11, حالة_الغرف_والأسعار!$A$8:$D$60, 2, FALSE), ""))</f>
        <v/>
      </c>
      <c r="D11" s="12" t="str">
        <f>IF(B11="","", IFERROR(VLOOKUP(B11, حالة_الغرف_والأسعار!$A$8:$D$60, 3, FALSE), ""))</f>
        <v/>
      </c>
      <c r="E11" s="12" t="s">
        <v>90</v>
      </c>
      <c r="F11" s="12" t="s">
        <v>90</v>
      </c>
      <c r="G11" s="11" t="s">
        <v>90</v>
      </c>
      <c r="H11" s="11" t="s">
        <v>90</v>
      </c>
      <c r="I11" s="11" t="str">
        <f t="shared" si="0"/>
        <v/>
      </c>
      <c r="J11" s="18" t="str">
        <f>IF(B11="","", IFERROR(VLOOKUP(B11, حالة_الغرف_والأسعار!$A$8:$D$60, 4, FALSE), 0))</f>
        <v/>
      </c>
      <c r="K11" s="13" t="e">
        <f t="shared" si="1"/>
        <v>#VALUE!</v>
      </c>
      <c r="L11" s="13">
        <v>0</v>
      </c>
      <c r="M11" s="13" t="e">
        <f t="shared" si="2"/>
        <v>#VALUE!</v>
      </c>
      <c r="N11" s="11" t="s">
        <v>90</v>
      </c>
    </row>
    <row r="12" spans="1:14" ht="22" customHeight="1">
      <c r="A12" s="11" t="s">
        <v>115</v>
      </c>
      <c r="B12" s="11" t="s">
        <v>90</v>
      </c>
      <c r="C12" s="11" t="str">
        <f>IF(B12="","", IFERROR(VLOOKUP(B12, حالة_الغرف_والأسعار!$A$8:$D$60, 2, FALSE), ""))</f>
        <v/>
      </c>
      <c r="D12" s="12" t="str">
        <f>IF(B12="","", IFERROR(VLOOKUP(B12, حالة_الغرف_والأسعار!$A$8:$D$60, 3, FALSE), ""))</f>
        <v/>
      </c>
      <c r="E12" s="12" t="s">
        <v>90</v>
      </c>
      <c r="F12" s="12" t="s">
        <v>90</v>
      </c>
      <c r="G12" s="11" t="s">
        <v>90</v>
      </c>
      <c r="H12" s="11" t="s">
        <v>90</v>
      </c>
      <c r="I12" s="11" t="str">
        <f t="shared" si="0"/>
        <v/>
      </c>
      <c r="J12" s="18" t="str">
        <f>IF(B12="","", IFERROR(VLOOKUP(B12, حالة_الغرف_والأسعار!$A$8:$D$60, 4, FALSE), 0))</f>
        <v/>
      </c>
      <c r="K12" s="13" t="e">
        <f t="shared" si="1"/>
        <v>#VALUE!</v>
      </c>
      <c r="L12" s="13">
        <v>0</v>
      </c>
      <c r="M12" s="13" t="e">
        <f t="shared" si="2"/>
        <v>#VALUE!</v>
      </c>
      <c r="N12" s="11" t="s">
        <v>90</v>
      </c>
    </row>
    <row r="13" spans="1:14" ht="22" customHeight="1">
      <c r="A13" s="11" t="s">
        <v>116</v>
      </c>
      <c r="B13" s="11" t="s">
        <v>90</v>
      </c>
      <c r="C13" s="11" t="str">
        <f>IF(B13="","", IFERROR(VLOOKUP(B13, حالة_الغرف_والأسعار!$A$8:$D$60, 2, FALSE), ""))</f>
        <v/>
      </c>
      <c r="D13" s="12" t="str">
        <f>IF(B13="","", IFERROR(VLOOKUP(B13, حالة_الغرف_والأسعار!$A$8:$D$60, 3, FALSE), ""))</f>
        <v/>
      </c>
      <c r="E13" s="12" t="s">
        <v>90</v>
      </c>
      <c r="F13" s="12" t="s">
        <v>90</v>
      </c>
      <c r="G13" s="11" t="s">
        <v>90</v>
      </c>
      <c r="H13" s="11" t="s">
        <v>90</v>
      </c>
      <c r="I13" s="11" t="str">
        <f t="shared" si="0"/>
        <v/>
      </c>
      <c r="J13" s="18" t="str">
        <f>IF(B13="","", IFERROR(VLOOKUP(B13, حالة_الغرف_والأسعار!$A$8:$D$60, 4, FALSE), 0))</f>
        <v/>
      </c>
      <c r="K13" s="13" t="e">
        <f t="shared" si="1"/>
        <v>#VALUE!</v>
      </c>
      <c r="L13" s="13">
        <v>0</v>
      </c>
      <c r="M13" s="13" t="e">
        <f t="shared" si="2"/>
        <v>#VALUE!</v>
      </c>
      <c r="N13" s="11" t="s">
        <v>90</v>
      </c>
    </row>
    <row r="14" spans="1:14" ht="22" customHeight="1">
      <c r="A14" s="11" t="s">
        <v>117</v>
      </c>
      <c r="B14" s="11" t="s">
        <v>90</v>
      </c>
      <c r="C14" s="11" t="str">
        <f>IF(B14="","", IFERROR(VLOOKUP(B14, حالة_الغرف_والأسعار!$A$8:$D$60, 2, FALSE), ""))</f>
        <v/>
      </c>
      <c r="D14" s="12" t="str">
        <f>IF(B14="","", IFERROR(VLOOKUP(B14, حالة_الغرف_والأسعار!$A$8:$D$60, 3, FALSE), ""))</f>
        <v/>
      </c>
      <c r="E14" s="12" t="s">
        <v>90</v>
      </c>
      <c r="F14" s="12" t="s">
        <v>90</v>
      </c>
      <c r="G14" s="11" t="s">
        <v>90</v>
      </c>
      <c r="H14" s="11" t="s">
        <v>90</v>
      </c>
      <c r="I14" s="11" t="str">
        <f t="shared" si="0"/>
        <v/>
      </c>
      <c r="J14" s="18" t="str">
        <f>IF(B14="","", IFERROR(VLOOKUP(B14, حالة_الغرف_والأسعار!$A$8:$D$60, 4, FALSE), 0))</f>
        <v/>
      </c>
      <c r="K14" s="13" t="e">
        <f t="shared" si="1"/>
        <v>#VALUE!</v>
      </c>
      <c r="L14" s="13">
        <v>0</v>
      </c>
      <c r="M14" s="13" t="e">
        <f t="shared" si="2"/>
        <v>#VALUE!</v>
      </c>
      <c r="N14" s="11" t="s">
        <v>90</v>
      </c>
    </row>
    <row r="15" spans="1:14" ht="22" customHeight="1">
      <c r="A15" s="11" t="s">
        <v>118</v>
      </c>
      <c r="B15" s="11" t="s">
        <v>90</v>
      </c>
      <c r="C15" s="11" t="str">
        <f>IF(B15="","", IFERROR(VLOOKUP(B15, حالة_الغرف_والأسعار!$A$8:$D$60, 2, FALSE), ""))</f>
        <v/>
      </c>
      <c r="D15" s="12" t="str">
        <f>IF(B15="","", IFERROR(VLOOKUP(B15, حالة_الغرف_والأسعار!$A$8:$D$60, 3, FALSE), ""))</f>
        <v/>
      </c>
      <c r="E15" s="12" t="s">
        <v>90</v>
      </c>
      <c r="F15" s="12" t="s">
        <v>90</v>
      </c>
      <c r="G15" s="11" t="s">
        <v>90</v>
      </c>
      <c r="H15" s="11" t="s">
        <v>90</v>
      </c>
      <c r="I15" s="11" t="str">
        <f t="shared" si="0"/>
        <v/>
      </c>
      <c r="J15" s="18" t="str">
        <f>IF(B15="","", IFERROR(VLOOKUP(B15, حالة_الغرف_والأسعار!$A$8:$D$60, 4, FALSE), 0))</f>
        <v/>
      </c>
      <c r="K15" s="13" t="e">
        <f t="shared" si="1"/>
        <v>#VALUE!</v>
      </c>
      <c r="L15" s="13">
        <v>0</v>
      </c>
      <c r="M15" s="13" t="e">
        <f t="shared" si="2"/>
        <v>#VALUE!</v>
      </c>
      <c r="N15" s="11" t="s">
        <v>90</v>
      </c>
    </row>
    <row r="16" spans="1:14" ht="22" customHeight="1">
      <c r="A16" s="11" t="s">
        <v>119</v>
      </c>
      <c r="B16" s="11" t="s">
        <v>90</v>
      </c>
      <c r="C16" s="11" t="str">
        <f>IF(B16="","", IFERROR(VLOOKUP(B16, حالة_الغرف_والأسعار!$A$8:$D$60, 2, FALSE), ""))</f>
        <v/>
      </c>
      <c r="D16" s="12" t="str">
        <f>IF(B16="","", IFERROR(VLOOKUP(B16, حالة_الغرف_والأسعار!$A$8:$D$60, 3, FALSE), ""))</f>
        <v/>
      </c>
      <c r="E16" s="12" t="s">
        <v>90</v>
      </c>
      <c r="F16" s="12" t="s">
        <v>90</v>
      </c>
      <c r="G16" s="11" t="s">
        <v>90</v>
      </c>
      <c r="H16" s="11" t="s">
        <v>90</v>
      </c>
      <c r="I16" s="11" t="str">
        <f t="shared" si="0"/>
        <v/>
      </c>
      <c r="J16" s="18" t="str">
        <f>IF(B16="","", IFERROR(VLOOKUP(B16, حالة_الغرف_والأسعار!$A$8:$D$60, 4, FALSE), 0))</f>
        <v/>
      </c>
      <c r="K16" s="13" t="e">
        <f t="shared" si="1"/>
        <v>#VALUE!</v>
      </c>
      <c r="L16" s="13">
        <v>0</v>
      </c>
      <c r="M16" s="13" t="e">
        <f t="shared" si="2"/>
        <v>#VALUE!</v>
      </c>
      <c r="N16" s="11" t="s">
        <v>90</v>
      </c>
    </row>
    <row r="17" spans="1:14" ht="22" customHeight="1">
      <c r="A17" s="11" t="s">
        <v>120</v>
      </c>
      <c r="B17" s="11" t="s">
        <v>90</v>
      </c>
      <c r="C17" s="11" t="str">
        <f>IF(B17="","", IFERROR(VLOOKUP(B17, حالة_الغرف_والأسعار!$A$8:$D$60, 2, FALSE), ""))</f>
        <v/>
      </c>
      <c r="D17" s="12" t="str">
        <f>IF(B17="","", IFERROR(VLOOKUP(B17, حالة_الغرف_والأسعار!$A$8:$D$60, 3, FALSE), ""))</f>
        <v/>
      </c>
      <c r="E17" s="12" t="s">
        <v>90</v>
      </c>
      <c r="F17" s="12" t="s">
        <v>90</v>
      </c>
      <c r="G17" s="11" t="s">
        <v>90</v>
      </c>
      <c r="H17" s="11" t="s">
        <v>90</v>
      </c>
      <c r="I17" s="11" t="str">
        <f t="shared" si="0"/>
        <v/>
      </c>
      <c r="J17" s="18" t="str">
        <f>IF(B17="","", IFERROR(VLOOKUP(B17, حالة_الغرف_والأسعار!$A$8:$D$60, 4, FALSE), 0))</f>
        <v/>
      </c>
      <c r="K17" s="13" t="e">
        <f t="shared" si="1"/>
        <v>#VALUE!</v>
      </c>
      <c r="L17" s="13">
        <v>0</v>
      </c>
      <c r="M17" s="13" t="e">
        <f t="shared" si="2"/>
        <v>#VALUE!</v>
      </c>
      <c r="N17" s="11" t="s">
        <v>90</v>
      </c>
    </row>
    <row r="18" spans="1:14" ht="22" customHeight="1">
      <c r="A18" s="11" t="s">
        <v>121</v>
      </c>
      <c r="B18" s="11" t="s">
        <v>90</v>
      </c>
      <c r="C18" s="11" t="str">
        <f>IF(B18="","", IFERROR(VLOOKUP(B18, حالة_الغرف_والأسعار!$A$8:$D$60, 2, FALSE), ""))</f>
        <v/>
      </c>
      <c r="D18" s="12" t="str">
        <f>IF(B18="","", IFERROR(VLOOKUP(B18, حالة_الغرف_والأسعار!$A$8:$D$60, 3, FALSE), ""))</f>
        <v/>
      </c>
      <c r="E18" s="12" t="s">
        <v>90</v>
      </c>
      <c r="F18" s="12" t="s">
        <v>90</v>
      </c>
      <c r="G18" s="11" t="s">
        <v>90</v>
      </c>
      <c r="H18" s="11" t="s">
        <v>90</v>
      </c>
      <c r="I18" s="11" t="str">
        <f t="shared" si="0"/>
        <v/>
      </c>
      <c r="J18" s="18" t="str">
        <f>IF(B18="","", IFERROR(VLOOKUP(B18, حالة_الغرف_والأسعار!$A$8:$D$60, 4, FALSE), 0))</f>
        <v/>
      </c>
      <c r="K18" s="13" t="e">
        <f t="shared" si="1"/>
        <v>#VALUE!</v>
      </c>
      <c r="L18" s="13">
        <v>0</v>
      </c>
      <c r="M18" s="13" t="e">
        <f t="shared" si="2"/>
        <v>#VALUE!</v>
      </c>
      <c r="N18" s="11" t="s">
        <v>90</v>
      </c>
    </row>
    <row r="19" spans="1:14" ht="22" customHeight="1">
      <c r="A19" s="11" t="s">
        <v>122</v>
      </c>
      <c r="B19" s="11" t="s">
        <v>90</v>
      </c>
      <c r="C19" s="11" t="str">
        <f>IF(B19="","", IFERROR(VLOOKUP(B19, حالة_الغرف_والأسعار!$A$8:$D$60, 2, FALSE), ""))</f>
        <v/>
      </c>
      <c r="D19" s="12" t="str">
        <f>IF(B19="","", IFERROR(VLOOKUP(B19, حالة_الغرف_والأسعار!$A$8:$D$60, 3, FALSE), ""))</f>
        <v/>
      </c>
      <c r="E19" s="12" t="s">
        <v>90</v>
      </c>
      <c r="F19" s="12" t="s">
        <v>90</v>
      </c>
      <c r="G19" s="11" t="s">
        <v>90</v>
      </c>
      <c r="H19" s="11" t="s">
        <v>90</v>
      </c>
      <c r="I19" s="11" t="str">
        <f t="shared" si="0"/>
        <v/>
      </c>
      <c r="J19" s="18" t="str">
        <f>IF(B19="","", IFERROR(VLOOKUP(B19, حالة_الغرف_والأسعار!$A$8:$D$60, 4, FALSE), 0))</f>
        <v/>
      </c>
      <c r="K19" s="13" t="e">
        <f t="shared" si="1"/>
        <v>#VALUE!</v>
      </c>
      <c r="L19" s="13">
        <v>0</v>
      </c>
      <c r="M19" s="13" t="e">
        <f t="shared" si="2"/>
        <v>#VALUE!</v>
      </c>
      <c r="N19" s="11" t="s">
        <v>90</v>
      </c>
    </row>
    <row r="20" spans="1:14" ht="22" customHeight="1">
      <c r="A20" s="11" t="s">
        <v>123</v>
      </c>
      <c r="B20" s="11" t="s">
        <v>90</v>
      </c>
      <c r="C20" s="11" t="str">
        <f>IF(B20="","", IFERROR(VLOOKUP(B20, حالة_الغرف_والأسعار!$A$8:$D$60, 2, FALSE), ""))</f>
        <v/>
      </c>
      <c r="D20" s="12" t="str">
        <f>IF(B20="","", IFERROR(VLOOKUP(B20, حالة_الغرف_والأسعار!$A$8:$D$60, 3, FALSE), ""))</f>
        <v/>
      </c>
      <c r="E20" s="12" t="s">
        <v>90</v>
      </c>
      <c r="F20" s="12" t="s">
        <v>90</v>
      </c>
      <c r="G20" s="11" t="s">
        <v>90</v>
      </c>
      <c r="H20" s="11" t="s">
        <v>90</v>
      </c>
      <c r="I20" s="11" t="str">
        <f t="shared" si="0"/>
        <v/>
      </c>
      <c r="J20" s="18" t="str">
        <f>IF(B20="","", IFERROR(VLOOKUP(B20, حالة_الغرف_والأسعار!$A$8:$D$60, 4, FALSE), 0))</f>
        <v/>
      </c>
      <c r="K20" s="13" t="e">
        <f t="shared" si="1"/>
        <v>#VALUE!</v>
      </c>
      <c r="L20" s="13">
        <v>0</v>
      </c>
      <c r="M20" s="13" t="e">
        <f t="shared" si="2"/>
        <v>#VALUE!</v>
      </c>
      <c r="N20" s="11" t="s">
        <v>90</v>
      </c>
    </row>
    <row r="21" spans="1:14" ht="22" customHeight="1">
      <c r="A21" s="11" t="s">
        <v>124</v>
      </c>
      <c r="B21" s="11" t="s">
        <v>90</v>
      </c>
      <c r="C21" s="11" t="str">
        <f>IF(B21="","", IFERROR(VLOOKUP(B21, حالة_الغرف_والأسعار!$A$8:$D$60, 2, FALSE), ""))</f>
        <v/>
      </c>
      <c r="D21" s="12" t="str">
        <f>IF(B21="","", IFERROR(VLOOKUP(B21, حالة_الغرف_والأسعار!$A$8:$D$60, 3, FALSE), ""))</f>
        <v/>
      </c>
      <c r="E21" s="12" t="s">
        <v>90</v>
      </c>
      <c r="F21" s="12" t="s">
        <v>90</v>
      </c>
      <c r="G21" s="11" t="s">
        <v>90</v>
      </c>
      <c r="H21" s="11" t="s">
        <v>90</v>
      </c>
      <c r="I21" s="11" t="str">
        <f t="shared" si="0"/>
        <v/>
      </c>
      <c r="J21" s="18" t="str">
        <f>IF(B21="","", IFERROR(VLOOKUP(B21, حالة_الغرف_والأسعار!$A$8:$D$60, 4, FALSE), 0))</f>
        <v/>
      </c>
      <c r="K21" s="13" t="e">
        <f t="shared" si="1"/>
        <v>#VALUE!</v>
      </c>
      <c r="L21" s="13">
        <v>0</v>
      </c>
      <c r="M21" s="13" t="e">
        <f t="shared" si="2"/>
        <v>#VALUE!</v>
      </c>
      <c r="N21" s="11" t="s">
        <v>90</v>
      </c>
    </row>
    <row r="22" spans="1:14" ht="22" customHeight="1">
      <c r="A22" s="11" t="s">
        <v>125</v>
      </c>
      <c r="B22" s="11" t="s">
        <v>90</v>
      </c>
      <c r="C22" s="11" t="str">
        <f>IF(B22="","", IFERROR(VLOOKUP(B22, حالة_الغرف_والأسعار!$A$8:$D$60, 2, FALSE), ""))</f>
        <v/>
      </c>
      <c r="D22" s="12" t="str">
        <f>IF(B22="","", IFERROR(VLOOKUP(B22, حالة_الغرف_والأسعار!$A$8:$D$60, 3, FALSE), ""))</f>
        <v/>
      </c>
      <c r="E22" s="12" t="s">
        <v>90</v>
      </c>
      <c r="F22" s="12" t="s">
        <v>90</v>
      </c>
      <c r="G22" s="11" t="s">
        <v>90</v>
      </c>
      <c r="H22" s="11" t="s">
        <v>90</v>
      </c>
      <c r="I22" s="11" t="str">
        <f t="shared" si="0"/>
        <v/>
      </c>
      <c r="J22" s="18" t="str">
        <f>IF(B22="","", IFERROR(VLOOKUP(B22, حالة_الغرف_والأسعار!$A$8:$D$60, 4, FALSE), 0))</f>
        <v/>
      </c>
      <c r="K22" s="13" t="e">
        <f t="shared" si="1"/>
        <v>#VALUE!</v>
      </c>
      <c r="L22" s="13">
        <v>0</v>
      </c>
      <c r="M22" s="13" t="e">
        <f t="shared" si="2"/>
        <v>#VALUE!</v>
      </c>
      <c r="N22" s="11" t="s">
        <v>90</v>
      </c>
    </row>
    <row r="23" spans="1:14" ht="22" customHeight="1">
      <c r="A23" s="11" t="s">
        <v>126</v>
      </c>
      <c r="B23" s="11" t="s">
        <v>90</v>
      </c>
      <c r="C23" s="11" t="str">
        <f>IF(B23="","", IFERROR(VLOOKUP(B23, حالة_الغرف_والأسعار!$A$8:$D$60, 2, FALSE), ""))</f>
        <v/>
      </c>
      <c r="D23" s="12" t="str">
        <f>IF(B23="","", IFERROR(VLOOKUP(B23, حالة_الغرف_والأسعار!$A$8:$D$60, 3, FALSE), ""))</f>
        <v/>
      </c>
      <c r="E23" s="12" t="s">
        <v>90</v>
      </c>
      <c r="F23" s="12" t="s">
        <v>90</v>
      </c>
      <c r="G23" s="11" t="s">
        <v>90</v>
      </c>
      <c r="H23" s="11" t="s">
        <v>90</v>
      </c>
      <c r="I23" s="11" t="str">
        <f t="shared" si="0"/>
        <v/>
      </c>
      <c r="J23" s="18" t="str">
        <f>IF(B23="","", IFERROR(VLOOKUP(B23, حالة_الغرف_والأسعار!$A$8:$D$60, 4, FALSE), 0))</f>
        <v/>
      </c>
      <c r="K23" s="13" t="e">
        <f t="shared" si="1"/>
        <v>#VALUE!</v>
      </c>
      <c r="L23" s="13">
        <v>0</v>
      </c>
      <c r="M23" s="13" t="e">
        <f t="shared" si="2"/>
        <v>#VALUE!</v>
      </c>
      <c r="N23" s="11" t="s">
        <v>90</v>
      </c>
    </row>
    <row r="24" spans="1:14" ht="22" customHeight="1">
      <c r="A24" s="11" t="s">
        <v>127</v>
      </c>
      <c r="B24" s="11" t="s">
        <v>90</v>
      </c>
      <c r="C24" s="11" t="str">
        <f>IF(B24="","", IFERROR(VLOOKUP(B24, حالة_الغرف_والأسعار!$A$8:$D$60, 2, FALSE), ""))</f>
        <v/>
      </c>
      <c r="D24" s="12" t="str">
        <f>IF(B24="","", IFERROR(VLOOKUP(B24, حالة_الغرف_والأسعار!$A$8:$D$60, 3, FALSE), ""))</f>
        <v/>
      </c>
      <c r="E24" s="12" t="s">
        <v>90</v>
      </c>
      <c r="F24" s="12" t="s">
        <v>90</v>
      </c>
      <c r="G24" s="11" t="s">
        <v>90</v>
      </c>
      <c r="H24" s="11" t="s">
        <v>90</v>
      </c>
      <c r="I24" s="11" t="str">
        <f t="shared" si="0"/>
        <v/>
      </c>
      <c r="J24" s="18" t="str">
        <f>IF(B24="","", IFERROR(VLOOKUP(B24, حالة_الغرف_والأسعار!$A$8:$D$60, 4, FALSE), 0))</f>
        <v/>
      </c>
      <c r="K24" s="13" t="e">
        <f t="shared" si="1"/>
        <v>#VALUE!</v>
      </c>
      <c r="L24" s="13">
        <v>0</v>
      </c>
      <c r="M24" s="13" t="e">
        <f t="shared" si="2"/>
        <v>#VALUE!</v>
      </c>
      <c r="N24" s="11" t="s">
        <v>90</v>
      </c>
    </row>
    <row r="25" spans="1:14" ht="22" customHeight="1">
      <c r="A25" s="11" t="s">
        <v>128</v>
      </c>
      <c r="B25" s="11" t="s">
        <v>90</v>
      </c>
      <c r="C25" s="11" t="str">
        <f>IF(B25="","", IFERROR(VLOOKUP(B25, حالة_الغرف_والأسعار!$A$8:$D$60, 2, FALSE), ""))</f>
        <v/>
      </c>
      <c r="D25" s="12" t="str">
        <f>IF(B25="","", IFERROR(VLOOKUP(B25, حالة_الغرف_والأسعار!$A$8:$D$60, 3, FALSE), ""))</f>
        <v/>
      </c>
      <c r="E25" s="12" t="s">
        <v>90</v>
      </c>
      <c r="F25" s="12" t="s">
        <v>90</v>
      </c>
      <c r="G25" s="11" t="s">
        <v>90</v>
      </c>
      <c r="H25" s="11" t="s">
        <v>90</v>
      </c>
      <c r="I25" s="11" t="str">
        <f t="shared" si="0"/>
        <v/>
      </c>
      <c r="J25" s="18" t="str">
        <f>IF(B25="","", IFERROR(VLOOKUP(B25, حالة_الغرف_والأسعار!$A$8:$D$60, 4, FALSE), 0))</f>
        <v/>
      </c>
      <c r="K25" s="13" t="e">
        <f t="shared" si="1"/>
        <v>#VALUE!</v>
      </c>
      <c r="L25" s="13">
        <v>0</v>
      </c>
      <c r="M25" s="13" t="e">
        <f t="shared" si="2"/>
        <v>#VALUE!</v>
      </c>
      <c r="N25" s="11" t="s">
        <v>90</v>
      </c>
    </row>
    <row r="26" spans="1:14" ht="22" customHeight="1">
      <c r="A26" s="11" t="s">
        <v>129</v>
      </c>
      <c r="B26" s="11" t="s">
        <v>90</v>
      </c>
      <c r="C26" s="11" t="str">
        <f>IF(B26="","", IFERROR(VLOOKUP(B26, حالة_الغرف_والأسعار!$A$8:$D$60, 2, FALSE), ""))</f>
        <v/>
      </c>
      <c r="D26" s="12" t="str">
        <f>IF(B26="","", IFERROR(VLOOKUP(B26, حالة_الغرف_والأسعار!$A$8:$D$60, 3, FALSE), ""))</f>
        <v/>
      </c>
      <c r="E26" s="12" t="s">
        <v>90</v>
      </c>
      <c r="F26" s="12" t="s">
        <v>90</v>
      </c>
      <c r="G26" s="11" t="s">
        <v>90</v>
      </c>
      <c r="H26" s="11" t="s">
        <v>90</v>
      </c>
      <c r="I26" s="11" t="str">
        <f t="shared" si="0"/>
        <v/>
      </c>
      <c r="J26" s="18" t="str">
        <f>IF(B26="","", IFERROR(VLOOKUP(B26, حالة_الغرف_والأسعار!$A$8:$D$60, 4, FALSE), 0))</f>
        <v/>
      </c>
      <c r="K26" s="13" t="e">
        <f t="shared" si="1"/>
        <v>#VALUE!</v>
      </c>
      <c r="L26" s="13">
        <v>0</v>
      </c>
      <c r="M26" s="13" t="e">
        <f t="shared" si="2"/>
        <v>#VALUE!</v>
      </c>
      <c r="N26" s="11" t="s">
        <v>90</v>
      </c>
    </row>
    <row r="27" spans="1:14" ht="22" customHeight="1">
      <c r="A27" s="11" t="s">
        <v>130</v>
      </c>
      <c r="B27" s="11" t="s">
        <v>90</v>
      </c>
      <c r="C27" s="11" t="str">
        <f>IF(B27="","", IFERROR(VLOOKUP(B27, حالة_الغرف_والأسعار!$A$8:$D$60, 2, FALSE), ""))</f>
        <v/>
      </c>
      <c r="D27" s="12" t="str">
        <f>IF(B27="","", IFERROR(VLOOKUP(B27, حالة_الغرف_والأسعار!$A$8:$D$60, 3, FALSE), ""))</f>
        <v/>
      </c>
      <c r="E27" s="12" t="s">
        <v>90</v>
      </c>
      <c r="F27" s="12" t="s">
        <v>90</v>
      </c>
      <c r="G27" s="11" t="s">
        <v>90</v>
      </c>
      <c r="H27" s="11" t="s">
        <v>90</v>
      </c>
      <c r="I27" s="11" t="str">
        <f t="shared" si="0"/>
        <v/>
      </c>
      <c r="J27" s="18" t="str">
        <f>IF(B27="","", IFERROR(VLOOKUP(B27, حالة_الغرف_والأسعار!$A$8:$D$60, 4, FALSE), 0))</f>
        <v/>
      </c>
      <c r="K27" s="13" t="e">
        <f t="shared" si="1"/>
        <v>#VALUE!</v>
      </c>
      <c r="L27" s="13">
        <v>0</v>
      </c>
      <c r="M27" s="13" t="e">
        <f t="shared" si="2"/>
        <v>#VALUE!</v>
      </c>
      <c r="N27" s="11" t="s">
        <v>90</v>
      </c>
    </row>
    <row r="28" spans="1:14" ht="22" customHeight="1">
      <c r="A28" s="11" t="s">
        <v>131</v>
      </c>
      <c r="B28" s="11" t="s">
        <v>90</v>
      </c>
      <c r="C28" s="11" t="str">
        <f>IF(B28="","", IFERROR(VLOOKUP(B28, حالة_الغرف_والأسعار!$A$8:$D$60, 2, FALSE), ""))</f>
        <v/>
      </c>
      <c r="D28" s="12" t="str">
        <f>IF(B28="","", IFERROR(VLOOKUP(B28, حالة_الغرف_والأسعار!$A$8:$D$60, 3, FALSE), ""))</f>
        <v/>
      </c>
      <c r="E28" s="12" t="s">
        <v>90</v>
      </c>
      <c r="F28" s="12" t="s">
        <v>90</v>
      </c>
      <c r="G28" s="11" t="s">
        <v>90</v>
      </c>
      <c r="H28" s="11" t="s">
        <v>90</v>
      </c>
      <c r="I28" s="11" t="str">
        <f t="shared" si="0"/>
        <v/>
      </c>
      <c r="J28" s="18" t="str">
        <f>IF(B28="","", IFERROR(VLOOKUP(B28, حالة_الغرف_والأسعار!$A$8:$D$60, 4, FALSE), 0))</f>
        <v/>
      </c>
      <c r="K28" s="13" t="e">
        <f t="shared" si="1"/>
        <v>#VALUE!</v>
      </c>
      <c r="L28" s="13">
        <v>0</v>
      </c>
      <c r="M28" s="13" t="e">
        <f t="shared" si="2"/>
        <v>#VALUE!</v>
      </c>
      <c r="N28" s="11" t="s">
        <v>90</v>
      </c>
    </row>
    <row r="29" spans="1:14" ht="22" customHeight="1">
      <c r="A29" s="11" t="s">
        <v>132</v>
      </c>
      <c r="B29" s="11" t="s">
        <v>90</v>
      </c>
      <c r="C29" s="11" t="str">
        <f>IF(B29="","", IFERROR(VLOOKUP(B29, حالة_الغرف_والأسعار!$A$8:$D$60, 2, FALSE), ""))</f>
        <v/>
      </c>
      <c r="D29" s="12" t="str">
        <f>IF(B29="","", IFERROR(VLOOKUP(B29, حالة_الغرف_والأسعار!$A$8:$D$60, 3, FALSE), ""))</f>
        <v/>
      </c>
      <c r="E29" s="12" t="s">
        <v>90</v>
      </c>
      <c r="F29" s="12" t="s">
        <v>90</v>
      </c>
      <c r="G29" s="11" t="s">
        <v>90</v>
      </c>
      <c r="H29" s="11" t="s">
        <v>90</v>
      </c>
      <c r="I29" s="11" t="str">
        <f t="shared" si="0"/>
        <v/>
      </c>
      <c r="J29" s="18" t="str">
        <f>IF(B29="","", IFERROR(VLOOKUP(B29, حالة_الغرف_والأسعار!$A$8:$D$60, 4, FALSE), 0))</f>
        <v/>
      </c>
      <c r="K29" s="13" t="e">
        <f t="shared" si="1"/>
        <v>#VALUE!</v>
      </c>
      <c r="L29" s="13">
        <v>0</v>
      </c>
      <c r="M29" s="13" t="e">
        <f t="shared" si="2"/>
        <v>#VALUE!</v>
      </c>
      <c r="N29" s="11" t="s">
        <v>90</v>
      </c>
    </row>
    <row r="30" spans="1:14" ht="22" customHeight="1">
      <c r="A30" s="11" t="s">
        <v>133</v>
      </c>
      <c r="B30" s="11" t="s">
        <v>90</v>
      </c>
      <c r="C30" s="11" t="str">
        <f>IF(B30="","", IFERROR(VLOOKUP(B30, حالة_الغرف_والأسعار!$A$8:$D$60, 2, FALSE), ""))</f>
        <v/>
      </c>
      <c r="D30" s="12" t="str">
        <f>IF(B30="","", IFERROR(VLOOKUP(B30, حالة_الغرف_والأسعار!$A$8:$D$60, 3, FALSE), ""))</f>
        <v/>
      </c>
      <c r="E30" s="12" t="s">
        <v>90</v>
      </c>
      <c r="F30" s="12" t="s">
        <v>90</v>
      </c>
      <c r="G30" s="11" t="s">
        <v>90</v>
      </c>
      <c r="H30" s="11" t="s">
        <v>90</v>
      </c>
      <c r="I30" s="11" t="str">
        <f t="shared" si="0"/>
        <v/>
      </c>
      <c r="J30" s="18" t="str">
        <f>IF(B30="","", IFERROR(VLOOKUP(B30, حالة_الغرف_والأسعار!$A$8:$D$60, 4, FALSE), 0))</f>
        <v/>
      </c>
      <c r="K30" s="13" t="e">
        <f t="shared" si="1"/>
        <v>#VALUE!</v>
      </c>
      <c r="L30" s="13">
        <v>0</v>
      </c>
      <c r="M30" s="13" t="e">
        <f t="shared" si="2"/>
        <v>#VALUE!</v>
      </c>
      <c r="N30" s="11" t="s">
        <v>90</v>
      </c>
    </row>
    <row r="31" spans="1:14" ht="22" customHeight="1">
      <c r="A31" s="11" t="s">
        <v>134</v>
      </c>
      <c r="B31" s="11" t="s">
        <v>90</v>
      </c>
      <c r="C31" s="11" t="str">
        <f>IF(B31="","", IFERROR(VLOOKUP(B31, حالة_الغرف_والأسعار!$A$8:$D$60, 2, FALSE), ""))</f>
        <v/>
      </c>
      <c r="D31" s="12" t="str">
        <f>IF(B31="","", IFERROR(VLOOKUP(B31, حالة_الغرف_والأسعار!$A$8:$D$60, 3, FALSE), ""))</f>
        <v/>
      </c>
      <c r="E31" s="12" t="s">
        <v>90</v>
      </c>
      <c r="F31" s="12" t="s">
        <v>90</v>
      </c>
      <c r="G31" s="11" t="s">
        <v>90</v>
      </c>
      <c r="H31" s="11" t="s">
        <v>90</v>
      </c>
      <c r="I31" s="11" t="str">
        <f t="shared" si="0"/>
        <v/>
      </c>
      <c r="J31" s="18" t="str">
        <f>IF(B31="","", IFERROR(VLOOKUP(B31, حالة_الغرف_والأسعار!$A$8:$D$60, 4, FALSE), 0))</f>
        <v/>
      </c>
      <c r="K31" s="13" t="e">
        <f t="shared" si="1"/>
        <v>#VALUE!</v>
      </c>
      <c r="L31" s="13">
        <v>0</v>
      </c>
      <c r="M31" s="13" t="e">
        <f t="shared" si="2"/>
        <v>#VALUE!</v>
      </c>
      <c r="N31" s="11" t="s">
        <v>90</v>
      </c>
    </row>
    <row r="32" spans="1:14" ht="22" customHeight="1">
      <c r="A32" s="11" t="s">
        <v>135</v>
      </c>
      <c r="B32" s="11" t="s">
        <v>90</v>
      </c>
      <c r="C32" s="11" t="str">
        <f>IF(B32="","", IFERROR(VLOOKUP(B32, حالة_الغرف_والأسعار!$A$8:$D$60, 2, FALSE), ""))</f>
        <v/>
      </c>
      <c r="D32" s="12" t="str">
        <f>IF(B32="","", IFERROR(VLOOKUP(B32, حالة_الغرف_والأسعار!$A$8:$D$60, 3, FALSE), ""))</f>
        <v/>
      </c>
      <c r="E32" s="12" t="s">
        <v>90</v>
      </c>
      <c r="F32" s="12" t="s">
        <v>90</v>
      </c>
      <c r="G32" s="11" t="s">
        <v>90</v>
      </c>
      <c r="H32" s="11" t="s">
        <v>90</v>
      </c>
      <c r="I32" s="11" t="str">
        <f t="shared" si="0"/>
        <v/>
      </c>
      <c r="J32" s="18" t="str">
        <f>IF(B32="","", IFERROR(VLOOKUP(B32, حالة_الغرف_والأسعار!$A$8:$D$60, 4, FALSE), 0))</f>
        <v/>
      </c>
      <c r="K32" s="13" t="e">
        <f t="shared" si="1"/>
        <v>#VALUE!</v>
      </c>
      <c r="L32" s="13">
        <v>0</v>
      </c>
      <c r="M32" s="13" t="e">
        <f t="shared" si="2"/>
        <v>#VALUE!</v>
      </c>
      <c r="N32" s="11" t="s">
        <v>90</v>
      </c>
    </row>
    <row r="33" spans="1:14" ht="22" customHeight="1">
      <c r="A33" s="11" t="s">
        <v>136</v>
      </c>
      <c r="B33" s="11" t="s">
        <v>90</v>
      </c>
      <c r="C33" s="11" t="str">
        <f>IF(B33="","", IFERROR(VLOOKUP(B33, حالة_الغرف_والأسعار!$A$8:$D$60, 2, FALSE), ""))</f>
        <v/>
      </c>
      <c r="D33" s="12" t="str">
        <f>IF(B33="","", IFERROR(VLOOKUP(B33, حالة_الغرف_والأسعار!$A$8:$D$60, 3, FALSE), ""))</f>
        <v/>
      </c>
      <c r="E33" s="12" t="s">
        <v>90</v>
      </c>
      <c r="F33" s="12" t="s">
        <v>90</v>
      </c>
      <c r="G33" s="11" t="s">
        <v>90</v>
      </c>
      <c r="H33" s="11" t="s">
        <v>90</v>
      </c>
      <c r="I33" s="11" t="str">
        <f t="shared" si="0"/>
        <v/>
      </c>
      <c r="J33" s="18" t="str">
        <f>IF(B33="","", IFERROR(VLOOKUP(B33, حالة_الغرف_والأسعار!$A$8:$D$60, 4, FALSE), 0))</f>
        <v/>
      </c>
      <c r="K33" s="13" t="e">
        <f t="shared" si="1"/>
        <v>#VALUE!</v>
      </c>
      <c r="L33" s="13">
        <v>0</v>
      </c>
      <c r="M33" s="13" t="e">
        <f t="shared" si="2"/>
        <v>#VALUE!</v>
      </c>
      <c r="N33" s="11" t="s">
        <v>90</v>
      </c>
    </row>
    <row r="34" spans="1:14" ht="22" customHeight="1">
      <c r="A34" s="11" t="s">
        <v>137</v>
      </c>
      <c r="B34" s="11" t="s">
        <v>90</v>
      </c>
      <c r="C34" s="11" t="str">
        <f>IF(B34="","", IFERROR(VLOOKUP(B34, حالة_الغرف_والأسعار!$A$8:$D$60, 2, FALSE), ""))</f>
        <v/>
      </c>
      <c r="D34" s="12" t="str">
        <f>IF(B34="","", IFERROR(VLOOKUP(B34, حالة_الغرف_والأسعار!$A$8:$D$60, 3, FALSE), ""))</f>
        <v/>
      </c>
      <c r="E34" s="12" t="s">
        <v>90</v>
      </c>
      <c r="F34" s="12" t="s">
        <v>90</v>
      </c>
      <c r="G34" s="11" t="s">
        <v>90</v>
      </c>
      <c r="H34" s="11" t="s">
        <v>90</v>
      </c>
      <c r="I34" s="11" t="str">
        <f t="shared" si="0"/>
        <v/>
      </c>
      <c r="J34" s="18" t="str">
        <f>IF(B34="","", IFERROR(VLOOKUP(B34, حالة_الغرف_والأسعار!$A$8:$D$60, 4, FALSE), 0))</f>
        <v/>
      </c>
      <c r="K34" s="13" t="e">
        <f t="shared" si="1"/>
        <v>#VALUE!</v>
      </c>
      <c r="L34" s="13">
        <v>0</v>
      </c>
      <c r="M34" s="13" t="e">
        <f t="shared" si="2"/>
        <v>#VALUE!</v>
      </c>
      <c r="N34" s="11" t="s">
        <v>90</v>
      </c>
    </row>
    <row r="35" spans="1:14" ht="22" customHeight="1">
      <c r="A35" s="11" t="s">
        <v>138</v>
      </c>
      <c r="B35" s="11" t="s">
        <v>90</v>
      </c>
      <c r="C35" s="11" t="str">
        <f>IF(B35="","", IFERROR(VLOOKUP(B35, حالة_الغرف_والأسعار!$A$8:$D$60, 2, FALSE), ""))</f>
        <v/>
      </c>
      <c r="D35" s="12" t="str">
        <f>IF(B35="","", IFERROR(VLOOKUP(B35, حالة_الغرف_والأسعار!$A$8:$D$60, 3, FALSE), ""))</f>
        <v/>
      </c>
      <c r="E35" s="12" t="s">
        <v>90</v>
      </c>
      <c r="F35" s="12" t="s">
        <v>90</v>
      </c>
      <c r="G35" s="11" t="s">
        <v>90</v>
      </c>
      <c r="H35" s="11" t="s">
        <v>90</v>
      </c>
      <c r="I35" s="11" t="str">
        <f t="shared" si="0"/>
        <v/>
      </c>
      <c r="J35" s="18" t="str">
        <f>IF(B35="","", IFERROR(VLOOKUP(B35, حالة_الغرف_والأسعار!$A$8:$D$60, 4, FALSE), 0))</f>
        <v/>
      </c>
      <c r="K35" s="13" t="e">
        <f t="shared" si="1"/>
        <v>#VALUE!</v>
      </c>
      <c r="L35" s="13">
        <v>0</v>
      </c>
      <c r="M35" s="13" t="e">
        <f t="shared" si="2"/>
        <v>#VALUE!</v>
      </c>
      <c r="N35" s="11" t="s">
        <v>90</v>
      </c>
    </row>
    <row r="36" spans="1:14" ht="22" customHeight="1">
      <c r="A36" s="11" t="s">
        <v>139</v>
      </c>
      <c r="B36" s="11" t="s">
        <v>90</v>
      </c>
      <c r="C36" s="11" t="str">
        <f>IF(B36="","", IFERROR(VLOOKUP(B36, حالة_الغرف_والأسعار!$A$8:$D$60, 2, FALSE), ""))</f>
        <v/>
      </c>
      <c r="D36" s="12" t="str">
        <f>IF(B36="","", IFERROR(VLOOKUP(B36, حالة_الغرف_والأسعار!$A$8:$D$60, 3, FALSE), ""))</f>
        <v/>
      </c>
      <c r="E36" s="12" t="s">
        <v>90</v>
      </c>
      <c r="F36" s="12" t="s">
        <v>90</v>
      </c>
      <c r="G36" s="11" t="s">
        <v>90</v>
      </c>
      <c r="H36" s="11" t="s">
        <v>90</v>
      </c>
      <c r="I36" s="11" t="str">
        <f t="shared" ref="I36:I67" si="3">IF(AND(G36&lt;&gt;"", H36&lt;&gt;""), H36-G36, "")</f>
        <v/>
      </c>
      <c r="J36" s="18" t="str">
        <f>IF(B36="","", IFERROR(VLOOKUP(B36, حالة_الغرف_والأسعار!$A$8:$D$60, 4, FALSE), 0))</f>
        <v/>
      </c>
      <c r="K36" s="13" t="e">
        <f t="shared" ref="K36:K67" si="4">IF(AND(I36&gt;0, J36&gt;0), I36*J36, 0)</f>
        <v>#VALUE!</v>
      </c>
      <c r="L36" s="13">
        <v>0</v>
      </c>
      <c r="M36" s="13" t="e">
        <f t="shared" ref="M36:M67" si="5">IF(K36&gt;0, K36-L36, 0)</f>
        <v>#VALUE!</v>
      </c>
      <c r="N36" s="11" t="s">
        <v>90</v>
      </c>
    </row>
    <row r="37" spans="1:14" ht="22" customHeight="1">
      <c r="A37" s="11" t="s">
        <v>140</v>
      </c>
      <c r="B37" s="11" t="s">
        <v>90</v>
      </c>
      <c r="C37" s="11" t="str">
        <f>IF(B37="","", IFERROR(VLOOKUP(B37, حالة_الغرف_والأسعار!$A$8:$D$60, 2, FALSE), ""))</f>
        <v/>
      </c>
      <c r="D37" s="12" t="str">
        <f>IF(B37="","", IFERROR(VLOOKUP(B37, حالة_الغرف_والأسعار!$A$8:$D$60, 3, FALSE), ""))</f>
        <v/>
      </c>
      <c r="E37" s="12" t="s">
        <v>90</v>
      </c>
      <c r="F37" s="12" t="s">
        <v>90</v>
      </c>
      <c r="G37" s="11" t="s">
        <v>90</v>
      </c>
      <c r="H37" s="11" t="s">
        <v>90</v>
      </c>
      <c r="I37" s="11" t="str">
        <f t="shared" si="3"/>
        <v/>
      </c>
      <c r="J37" s="18" t="str">
        <f>IF(B37="","", IFERROR(VLOOKUP(B37, حالة_الغرف_والأسعار!$A$8:$D$60, 4, FALSE), 0))</f>
        <v/>
      </c>
      <c r="K37" s="13" t="e">
        <f t="shared" si="4"/>
        <v>#VALUE!</v>
      </c>
      <c r="L37" s="13">
        <v>0</v>
      </c>
      <c r="M37" s="13" t="e">
        <f t="shared" si="5"/>
        <v>#VALUE!</v>
      </c>
      <c r="N37" s="11" t="s">
        <v>90</v>
      </c>
    </row>
    <row r="38" spans="1:14" ht="22" customHeight="1">
      <c r="A38" s="11" t="s">
        <v>141</v>
      </c>
      <c r="B38" s="11" t="s">
        <v>90</v>
      </c>
      <c r="C38" s="11" t="str">
        <f>IF(B38="","", IFERROR(VLOOKUP(B38, حالة_الغرف_والأسعار!$A$8:$D$60, 2, FALSE), ""))</f>
        <v/>
      </c>
      <c r="D38" s="12" t="str">
        <f>IF(B38="","", IFERROR(VLOOKUP(B38, حالة_الغرف_والأسعار!$A$8:$D$60, 3, FALSE), ""))</f>
        <v/>
      </c>
      <c r="E38" s="12" t="s">
        <v>90</v>
      </c>
      <c r="F38" s="12" t="s">
        <v>90</v>
      </c>
      <c r="G38" s="11" t="s">
        <v>90</v>
      </c>
      <c r="H38" s="11" t="s">
        <v>90</v>
      </c>
      <c r="I38" s="11" t="str">
        <f t="shared" si="3"/>
        <v/>
      </c>
      <c r="J38" s="18" t="str">
        <f>IF(B38="","", IFERROR(VLOOKUP(B38, حالة_الغرف_والأسعار!$A$8:$D$60, 4, FALSE), 0))</f>
        <v/>
      </c>
      <c r="K38" s="13" t="e">
        <f t="shared" si="4"/>
        <v>#VALUE!</v>
      </c>
      <c r="L38" s="13">
        <v>0</v>
      </c>
      <c r="M38" s="13" t="e">
        <f t="shared" si="5"/>
        <v>#VALUE!</v>
      </c>
      <c r="N38" s="11" t="s">
        <v>90</v>
      </c>
    </row>
    <row r="39" spans="1:14" ht="22" customHeight="1">
      <c r="A39" s="11" t="s">
        <v>142</v>
      </c>
      <c r="B39" s="11" t="s">
        <v>90</v>
      </c>
      <c r="C39" s="11" t="str">
        <f>IF(B39="","", IFERROR(VLOOKUP(B39, حالة_الغرف_والأسعار!$A$8:$D$60, 2, FALSE), ""))</f>
        <v/>
      </c>
      <c r="D39" s="12" t="str">
        <f>IF(B39="","", IFERROR(VLOOKUP(B39, حالة_الغرف_والأسعار!$A$8:$D$60, 3, FALSE), ""))</f>
        <v/>
      </c>
      <c r="E39" s="12" t="s">
        <v>90</v>
      </c>
      <c r="F39" s="12" t="s">
        <v>90</v>
      </c>
      <c r="G39" s="11" t="s">
        <v>90</v>
      </c>
      <c r="H39" s="11" t="s">
        <v>90</v>
      </c>
      <c r="I39" s="11" t="str">
        <f t="shared" si="3"/>
        <v/>
      </c>
      <c r="J39" s="18" t="str">
        <f>IF(B39="","", IFERROR(VLOOKUP(B39, حالة_الغرف_والأسعار!$A$8:$D$60, 4, FALSE), 0))</f>
        <v/>
      </c>
      <c r="K39" s="13" t="e">
        <f t="shared" si="4"/>
        <v>#VALUE!</v>
      </c>
      <c r="L39" s="13">
        <v>0</v>
      </c>
      <c r="M39" s="13" t="e">
        <f t="shared" si="5"/>
        <v>#VALUE!</v>
      </c>
      <c r="N39" s="11" t="s">
        <v>90</v>
      </c>
    </row>
    <row r="40" spans="1:14" ht="22" customHeight="1">
      <c r="A40" s="11" t="s">
        <v>143</v>
      </c>
      <c r="B40" s="11" t="s">
        <v>90</v>
      </c>
      <c r="C40" s="11" t="str">
        <f>IF(B40="","", IFERROR(VLOOKUP(B40, حالة_الغرف_والأسعار!$A$8:$D$60, 2, FALSE), ""))</f>
        <v/>
      </c>
      <c r="D40" s="12" t="str">
        <f>IF(B40="","", IFERROR(VLOOKUP(B40, حالة_الغرف_والأسعار!$A$8:$D$60, 3, FALSE), ""))</f>
        <v/>
      </c>
      <c r="E40" s="12" t="s">
        <v>90</v>
      </c>
      <c r="F40" s="12" t="s">
        <v>90</v>
      </c>
      <c r="G40" s="11" t="s">
        <v>90</v>
      </c>
      <c r="H40" s="11" t="s">
        <v>90</v>
      </c>
      <c r="I40" s="11" t="str">
        <f t="shared" si="3"/>
        <v/>
      </c>
      <c r="J40" s="18" t="str">
        <f>IF(B40="","", IFERROR(VLOOKUP(B40, حالة_الغرف_والأسعار!$A$8:$D$60, 4, FALSE), 0))</f>
        <v/>
      </c>
      <c r="K40" s="13" t="e">
        <f t="shared" si="4"/>
        <v>#VALUE!</v>
      </c>
      <c r="L40" s="13">
        <v>0</v>
      </c>
      <c r="M40" s="13" t="e">
        <f t="shared" si="5"/>
        <v>#VALUE!</v>
      </c>
      <c r="N40" s="11" t="s">
        <v>90</v>
      </c>
    </row>
    <row r="41" spans="1:14" ht="22" customHeight="1">
      <c r="A41" s="11" t="s">
        <v>144</v>
      </c>
      <c r="B41" s="11" t="s">
        <v>90</v>
      </c>
      <c r="C41" s="11" t="str">
        <f>IF(B41="","", IFERROR(VLOOKUP(B41, حالة_الغرف_والأسعار!$A$8:$D$60, 2, FALSE), ""))</f>
        <v/>
      </c>
      <c r="D41" s="12" t="str">
        <f>IF(B41="","", IFERROR(VLOOKUP(B41, حالة_الغرف_والأسعار!$A$8:$D$60, 3, FALSE), ""))</f>
        <v/>
      </c>
      <c r="E41" s="12" t="s">
        <v>90</v>
      </c>
      <c r="F41" s="12" t="s">
        <v>90</v>
      </c>
      <c r="G41" s="11" t="s">
        <v>90</v>
      </c>
      <c r="H41" s="11" t="s">
        <v>90</v>
      </c>
      <c r="I41" s="11" t="str">
        <f t="shared" si="3"/>
        <v/>
      </c>
      <c r="J41" s="18" t="str">
        <f>IF(B41="","", IFERROR(VLOOKUP(B41, حالة_الغرف_والأسعار!$A$8:$D$60, 4, FALSE), 0))</f>
        <v/>
      </c>
      <c r="K41" s="13" t="e">
        <f t="shared" si="4"/>
        <v>#VALUE!</v>
      </c>
      <c r="L41" s="13">
        <v>0</v>
      </c>
      <c r="M41" s="13" t="e">
        <f t="shared" si="5"/>
        <v>#VALUE!</v>
      </c>
      <c r="N41" s="11" t="s">
        <v>90</v>
      </c>
    </row>
    <row r="42" spans="1:14" ht="22" customHeight="1">
      <c r="A42" s="11" t="s">
        <v>145</v>
      </c>
      <c r="B42" s="11" t="s">
        <v>90</v>
      </c>
      <c r="C42" s="11" t="str">
        <f>IF(B42="","", IFERROR(VLOOKUP(B42, حالة_الغرف_والأسعار!$A$8:$D$60, 2, FALSE), ""))</f>
        <v/>
      </c>
      <c r="D42" s="12" t="str">
        <f>IF(B42="","", IFERROR(VLOOKUP(B42, حالة_الغرف_والأسعار!$A$8:$D$60, 3, FALSE), ""))</f>
        <v/>
      </c>
      <c r="E42" s="12" t="s">
        <v>90</v>
      </c>
      <c r="F42" s="12" t="s">
        <v>90</v>
      </c>
      <c r="G42" s="11" t="s">
        <v>90</v>
      </c>
      <c r="H42" s="11" t="s">
        <v>90</v>
      </c>
      <c r="I42" s="11" t="str">
        <f t="shared" si="3"/>
        <v/>
      </c>
      <c r="J42" s="18" t="str">
        <f>IF(B42="","", IFERROR(VLOOKUP(B42, حالة_الغرف_والأسعار!$A$8:$D$60, 4, FALSE), 0))</f>
        <v/>
      </c>
      <c r="K42" s="13" t="e">
        <f t="shared" si="4"/>
        <v>#VALUE!</v>
      </c>
      <c r="L42" s="13">
        <v>0</v>
      </c>
      <c r="M42" s="13" t="e">
        <f t="shared" si="5"/>
        <v>#VALUE!</v>
      </c>
      <c r="N42" s="11" t="s">
        <v>90</v>
      </c>
    </row>
    <row r="43" spans="1:14" ht="22" customHeight="1">
      <c r="A43" s="11" t="s">
        <v>146</v>
      </c>
      <c r="B43" s="11" t="s">
        <v>90</v>
      </c>
      <c r="C43" s="11" t="str">
        <f>IF(B43="","", IFERROR(VLOOKUP(B43, حالة_الغرف_والأسعار!$A$8:$D$60, 2, FALSE), ""))</f>
        <v/>
      </c>
      <c r="D43" s="12" t="str">
        <f>IF(B43="","", IFERROR(VLOOKUP(B43, حالة_الغرف_والأسعار!$A$8:$D$60, 3, FALSE), ""))</f>
        <v/>
      </c>
      <c r="E43" s="12" t="s">
        <v>90</v>
      </c>
      <c r="F43" s="12" t="s">
        <v>90</v>
      </c>
      <c r="G43" s="11" t="s">
        <v>90</v>
      </c>
      <c r="H43" s="11" t="s">
        <v>90</v>
      </c>
      <c r="I43" s="11" t="str">
        <f t="shared" si="3"/>
        <v/>
      </c>
      <c r="J43" s="18" t="str">
        <f>IF(B43="","", IFERROR(VLOOKUP(B43, حالة_الغرف_والأسعار!$A$8:$D$60, 4, FALSE), 0))</f>
        <v/>
      </c>
      <c r="K43" s="13" t="e">
        <f t="shared" si="4"/>
        <v>#VALUE!</v>
      </c>
      <c r="L43" s="13">
        <v>0</v>
      </c>
      <c r="M43" s="13" t="e">
        <f t="shared" si="5"/>
        <v>#VALUE!</v>
      </c>
      <c r="N43" s="11" t="s">
        <v>90</v>
      </c>
    </row>
    <row r="44" spans="1:14" ht="22" customHeight="1">
      <c r="A44" s="11" t="s">
        <v>147</v>
      </c>
      <c r="B44" s="11" t="s">
        <v>90</v>
      </c>
      <c r="C44" s="11" t="str">
        <f>IF(B44="","", IFERROR(VLOOKUP(B44, حالة_الغرف_والأسعار!$A$8:$D$60, 2, FALSE), ""))</f>
        <v/>
      </c>
      <c r="D44" s="12" t="str">
        <f>IF(B44="","", IFERROR(VLOOKUP(B44, حالة_الغرف_والأسعار!$A$8:$D$60, 3, FALSE), ""))</f>
        <v/>
      </c>
      <c r="E44" s="12" t="s">
        <v>90</v>
      </c>
      <c r="F44" s="12" t="s">
        <v>90</v>
      </c>
      <c r="G44" s="11" t="s">
        <v>90</v>
      </c>
      <c r="H44" s="11" t="s">
        <v>90</v>
      </c>
      <c r="I44" s="11" t="str">
        <f t="shared" si="3"/>
        <v/>
      </c>
      <c r="J44" s="18" t="str">
        <f>IF(B44="","", IFERROR(VLOOKUP(B44, حالة_الغرف_والأسعار!$A$8:$D$60, 4, FALSE), 0))</f>
        <v/>
      </c>
      <c r="K44" s="13" t="e">
        <f t="shared" si="4"/>
        <v>#VALUE!</v>
      </c>
      <c r="L44" s="13">
        <v>0</v>
      </c>
      <c r="M44" s="13" t="e">
        <f t="shared" si="5"/>
        <v>#VALUE!</v>
      </c>
      <c r="N44" s="11" t="s">
        <v>90</v>
      </c>
    </row>
    <row r="45" spans="1:14" ht="22" customHeight="1">
      <c r="A45" s="11" t="s">
        <v>148</v>
      </c>
      <c r="B45" s="11" t="s">
        <v>90</v>
      </c>
      <c r="C45" s="11" t="str">
        <f>IF(B45="","", IFERROR(VLOOKUP(B45, حالة_الغرف_والأسعار!$A$8:$D$60, 2, FALSE), ""))</f>
        <v/>
      </c>
      <c r="D45" s="12" t="str">
        <f>IF(B45="","", IFERROR(VLOOKUP(B45, حالة_الغرف_والأسعار!$A$8:$D$60, 3, FALSE), ""))</f>
        <v/>
      </c>
      <c r="E45" s="12" t="s">
        <v>90</v>
      </c>
      <c r="F45" s="12" t="s">
        <v>90</v>
      </c>
      <c r="G45" s="11" t="s">
        <v>90</v>
      </c>
      <c r="H45" s="11" t="s">
        <v>90</v>
      </c>
      <c r="I45" s="11" t="str">
        <f t="shared" si="3"/>
        <v/>
      </c>
      <c r="J45" s="18" t="str">
        <f>IF(B45="","", IFERROR(VLOOKUP(B45, حالة_الغرف_والأسعار!$A$8:$D$60, 4, FALSE), 0))</f>
        <v/>
      </c>
      <c r="K45" s="13" t="e">
        <f t="shared" si="4"/>
        <v>#VALUE!</v>
      </c>
      <c r="L45" s="13">
        <v>0</v>
      </c>
      <c r="M45" s="13" t="e">
        <f t="shared" si="5"/>
        <v>#VALUE!</v>
      </c>
      <c r="N45" s="11" t="s">
        <v>90</v>
      </c>
    </row>
    <row r="46" spans="1:14" ht="22" customHeight="1">
      <c r="A46" s="11" t="s">
        <v>149</v>
      </c>
      <c r="B46" s="11" t="s">
        <v>90</v>
      </c>
      <c r="C46" s="11" t="str">
        <f>IF(B46="","", IFERROR(VLOOKUP(B46, حالة_الغرف_والأسعار!$A$8:$D$60, 2, FALSE), ""))</f>
        <v/>
      </c>
      <c r="D46" s="12" t="str">
        <f>IF(B46="","", IFERROR(VLOOKUP(B46, حالة_الغرف_والأسعار!$A$8:$D$60, 3, FALSE), ""))</f>
        <v/>
      </c>
      <c r="E46" s="12" t="s">
        <v>90</v>
      </c>
      <c r="F46" s="12" t="s">
        <v>90</v>
      </c>
      <c r="G46" s="11" t="s">
        <v>90</v>
      </c>
      <c r="H46" s="11" t="s">
        <v>90</v>
      </c>
      <c r="I46" s="11" t="str">
        <f t="shared" si="3"/>
        <v/>
      </c>
      <c r="J46" s="18" t="str">
        <f>IF(B46="","", IFERROR(VLOOKUP(B46, حالة_الغرف_والأسعار!$A$8:$D$60, 4, FALSE), 0))</f>
        <v/>
      </c>
      <c r="K46" s="13" t="e">
        <f t="shared" si="4"/>
        <v>#VALUE!</v>
      </c>
      <c r="L46" s="13">
        <v>0</v>
      </c>
      <c r="M46" s="13" t="e">
        <f t="shared" si="5"/>
        <v>#VALUE!</v>
      </c>
      <c r="N46" s="11" t="s">
        <v>90</v>
      </c>
    </row>
    <row r="47" spans="1:14" ht="22" customHeight="1">
      <c r="A47" s="11" t="s">
        <v>150</v>
      </c>
      <c r="B47" s="11" t="s">
        <v>90</v>
      </c>
      <c r="C47" s="11" t="str">
        <f>IF(B47="","", IFERROR(VLOOKUP(B47, حالة_الغرف_والأسعار!$A$8:$D$60, 2, FALSE), ""))</f>
        <v/>
      </c>
      <c r="D47" s="12" t="str">
        <f>IF(B47="","", IFERROR(VLOOKUP(B47, حالة_الغرف_والأسعار!$A$8:$D$60, 3, FALSE), ""))</f>
        <v/>
      </c>
      <c r="E47" s="12" t="s">
        <v>90</v>
      </c>
      <c r="F47" s="12" t="s">
        <v>90</v>
      </c>
      <c r="G47" s="11" t="s">
        <v>90</v>
      </c>
      <c r="H47" s="11" t="s">
        <v>90</v>
      </c>
      <c r="I47" s="11" t="str">
        <f t="shared" si="3"/>
        <v/>
      </c>
      <c r="J47" s="18" t="str">
        <f>IF(B47="","", IFERROR(VLOOKUP(B47, حالة_الغرف_والأسعار!$A$8:$D$60, 4, FALSE), 0))</f>
        <v/>
      </c>
      <c r="K47" s="13" t="e">
        <f t="shared" si="4"/>
        <v>#VALUE!</v>
      </c>
      <c r="L47" s="13">
        <v>0</v>
      </c>
      <c r="M47" s="13" t="e">
        <f t="shared" si="5"/>
        <v>#VALUE!</v>
      </c>
      <c r="N47" s="11" t="s">
        <v>90</v>
      </c>
    </row>
    <row r="48" spans="1:14" ht="22" customHeight="1">
      <c r="A48" s="11" t="s">
        <v>151</v>
      </c>
      <c r="B48" s="11" t="s">
        <v>90</v>
      </c>
      <c r="C48" s="11" t="str">
        <f>IF(B48="","", IFERROR(VLOOKUP(B48, حالة_الغرف_والأسعار!$A$8:$D$60, 2, FALSE), ""))</f>
        <v/>
      </c>
      <c r="D48" s="12" t="str">
        <f>IF(B48="","", IFERROR(VLOOKUP(B48, حالة_الغرف_والأسعار!$A$8:$D$60, 3, FALSE), ""))</f>
        <v/>
      </c>
      <c r="E48" s="12" t="s">
        <v>90</v>
      </c>
      <c r="F48" s="12" t="s">
        <v>90</v>
      </c>
      <c r="G48" s="11" t="s">
        <v>90</v>
      </c>
      <c r="H48" s="11" t="s">
        <v>90</v>
      </c>
      <c r="I48" s="11" t="str">
        <f t="shared" si="3"/>
        <v/>
      </c>
      <c r="J48" s="18" t="str">
        <f>IF(B48="","", IFERROR(VLOOKUP(B48, حالة_الغرف_والأسعار!$A$8:$D$60, 4, FALSE), 0))</f>
        <v/>
      </c>
      <c r="K48" s="13" t="e">
        <f t="shared" si="4"/>
        <v>#VALUE!</v>
      </c>
      <c r="L48" s="13">
        <v>0</v>
      </c>
      <c r="M48" s="13" t="e">
        <f t="shared" si="5"/>
        <v>#VALUE!</v>
      </c>
      <c r="N48" s="11" t="s">
        <v>90</v>
      </c>
    </row>
    <row r="49" spans="1:14" ht="22" customHeight="1">
      <c r="A49" s="11" t="s">
        <v>152</v>
      </c>
      <c r="B49" s="11" t="s">
        <v>90</v>
      </c>
      <c r="C49" s="11" t="str">
        <f>IF(B49="","", IFERROR(VLOOKUP(B49, حالة_الغرف_والأسعار!$A$8:$D$60, 2, FALSE), ""))</f>
        <v/>
      </c>
      <c r="D49" s="12" t="str">
        <f>IF(B49="","", IFERROR(VLOOKUP(B49, حالة_الغرف_والأسعار!$A$8:$D$60, 3, FALSE), ""))</f>
        <v/>
      </c>
      <c r="E49" s="12" t="s">
        <v>90</v>
      </c>
      <c r="F49" s="12" t="s">
        <v>90</v>
      </c>
      <c r="G49" s="11" t="s">
        <v>90</v>
      </c>
      <c r="H49" s="11" t="s">
        <v>90</v>
      </c>
      <c r="I49" s="11" t="str">
        <f t="shared" si="3"/>
        <v/>
      </c>
      <c r="J49" s="18" t="str">
        <f>IF(B49="","", IFERROR(VLOOKUP(B49, حالة_الغرف_والأسعار!$A$8:$D$60, 4, FALSE), 0))</f>
        <v/>
      </c>
      <c r="K49" s="13" t="e">
        <f t="shared" si="4"/>
        <v>#VALUE!</v>
      </c>
      <c r="L49" s="13">
        <v>0</v>
      </c>
      <c r="M49" s="13" t="e">
        <f t="shared" si="5"/>
        <v>#VALUE!</v>
      </c>
      <c r="N49" s="11" t="s">
        <v>90</v>
      </c>
    </row>
    <row r="50" spans="1:14" ht="22" customHeight="1">
      <c r="A50" s="11" t="s">
        <v>153</v>
      </c>
      <c r="B50" s="11" t="s">
        <v>90</v>
      </c>
      <c r="C50" s="11" t="str">
        <f>IF(B50="","", IFERROR(VLOOKUP(B50, حالة_الغرف_والأسعار!$A$8:$D$60, 2, FALSE), ""))</f>
        <v/>
      </c>
      <c r="D50" s="12" t="str">
        <f>IF(B50="","", IFERROR(VLOOKUP(B50, حالة_الغرف_والأسعار!$A$8:$D$60, 3, FALSE), ""))</f>
        <v/>
      </c>
      <c r="E50" s="12" t="s">
        <v>90</v>
      </c>
      <c r="F50" s="12" t="s">
        <v>90</v>
      </c>
      <c r="G50" s="11" t="s">
        <v>90</v>
      </c>
      <c r="H50" s="11" t="s">
        <v>90</v>
      </c>
      <c r="I50" s="11" t="str">
        <f t="shared" si="3"/>
        <v/>
      </c>
      <c r="J50" s="18" t="str">
        <f>IF(B50="","", IFERROR(VLOOKUP(B50, حالة_الغرف_والأسعار!$A$8:$D$60, 4, FALSE), 0))</f>
        <v/>
      </c>
      <c r="K50" s="13" t="e">
        <f t="shared" si="4"/>
        <v>#VALUE!</v>
      </c>
      <c r="L50" s="13">
        <v>0</v>
      </c>
      <c r="M50" s="13" t="e">
        <f t="shared" si="5"/>
        <v>#VALUE!</v>
      </c>
      <c r="N50" s="11" t="s">
        <v>90</v>
      </c>
    </row>
    <row r="51" spans="1:14" ht="22" customHeight="1">
      <c r="A51" s="11" t="s">
        <v>154</v>
      </c>
      <c r="B51" s="11" t="s">
        <v>90</v>
      </c>
      <c r="C51" s="11" t="str">
        <f>IF(B51="","", IFERROR(VLOOKUP(B51, حالة_الغرف_والأسعار!$A$8:$D$60, 2, FALSE), ""))</f>
        <v/>
      </c>
      <c r="D51" s="12" t="str">
        <f>IF(B51="","", IFERROR(VLOOKUP(B51, حالة_الغرف_والأسعار!$A$8:$D$60, 3, FALSE), ""))</f>
        <v/>
      </c>
      <c r="E51" s="12" t="s">
        <v>90</v>
      </c>
      <c r="F51" s="12" t="s">
        <v>90</v>
      </c>
      <c r="G51" s="11" t="s">
        <v>90</v>
      </c>
      <c r="H51" s="11" t="s">
        <v>90</v>
      </c>
      <c r="I51" s="11" t="str">
        <f t="shared" si="3"/>
        <v/>
      </c>
      <c r="J51" s="18" t="str">
        <f>IF(B51="","", IFERROR(VLOOKUP(B51, حالة_الغرف_والأسعار!$A$8:$D$60, 4, FALSE), 0))</f>
        <v/>
      </c>
      <c r="K51" s="13" t="e">
        <f t="shared" si="4"/>
        <v>#VALUE!</v>
      </c>
      <c r="L51" s="13">
        <v>0</v>
      </c>
      <c r="M51" s="13" t="e">
        <f t="shared" si="5"/>
        <v>#VALUE!</v>
      </c>
      <c r="N51" s="11" t="s">
        <v>90</v>
      </c>
    </row>
    <row r="52" spans="1:14" ht="22" customHeight="1">
      <c r="A52" s="11" t="s">
        <v>155</v>
      </c>
      <c r="B52" s="11" t="s">
        <v>90</v>
      </c>
      <c r="C52" s="11" t="str">
        <f>IF(B52="","", IFERROR(VLOOKUP(B52, حالة_الغرف_والأسعار!$A$8:$D$60, 2, FALSE), ""))</f>
        <v/>
      </c>
      <c r="D52" s="12" t="str">
        <f>IF(B52="","", IFERROR(VLOOKUP(B52, حالة_الغرف_والأسعار!$A$8:$D$60, 3, FALSE), ""))</f>
        <v/>
      </c>
      <c r="E52" s="12" t="s">
        <v>90</v>
      </c>
      <c r="F52" s="12" t="s">
        <v>90</v>
      </c>
      <c r="G52" s="11" t="s">
        <v>90</v>
      </c>
      <c r="H52" s="11" t="s">
        <v>90</v>
      </c>
      <c r="I52" s="11" t="str">
        <f t="shared" si="3"/>
        <v/>
      </c>
      <c r="J52" s="18" t="str">
        <f>IF(B52="","", IFERROR(VLOOKUP(B52, حالة_الغرف_والأسعار!$A$8:$D$60, 4, FALSE), 0))</f>
        <v/>
      </c>
      <c r="K52" s="13" t="e">
        <f t="shared" si="4"/>
        <v>#VALUE!</v>
      </c>
      <c r="L52" s="13">
        <v>0</v>
      </c>
      <c r="M52" s="13" t="e">
        <f t="shared" si="5"/>
        <v>#VALUE!</v>
      </c>
      <c r="N52" s="11" t="s">
        <v>90</v>
      </c>
    </row>
    <row r="53" spans="1:14" ht="22" customHeight="1">
      <c r="A53" s="11" t="s">
        <v>156</v>
      </c>
      <c r="B53" s="11" t="s">
        <v>90</v>
      </c>
      <c r="C53" s="11" t="str">
        <f>IF(B53="","", IFERROR(VLOOKUP(B53, حالة_الغرف_والأسعار!$A$8:$D$60, 2, FALSE), ""))</f>
        <v/>
      </c>
      <c r="D53" s="12" t="str">
        <f>IF(B53="","", IFERROR(VLOOKUP(B53, حالة_الغرف_والأسعار!$A$8:$D$60, 3, FALSE), ""))</f>
        <v/>
      </c>
      <c r="E53" s="12" t="s">
        <v>90</v>
      </c>
      <c r="F53" s="12" t="s">
        <v>90</v>
      </c>
      <c r="G53" s="11" t="s">
        <v>90</v>
      </c>
      <c r="H53" s="11" t="s">
        <v>90</v>
      </c>
      <c r="I53" s="11" t="str">
        <f t="shared" si="3"/>
        <v/>
      </c>
      <c r="J53" s="18" t="str">
        <f>IF(B53="","", IFERROR(VLOOKUP(B53, حالة_الغرف_والأسعار!$A$8:$D$60, 4, FALSE), 0))</f>
        <v/>
      </c>
      <c r="K53" s="13" t="e">
        <f t="shared" si="4"/>
        <v>#VALUE!</v>
      </c>
      <c r="L53" s="13">
        <v>0</v>
      </c>
      <c r="M53" s="13" t="e">
        <f t="shared" si="5"/>
        <v>#VALUE!</v>
      </c>
      <c r="N53" s="11" t="s">
        <v>90</v>
      </c>
    </row>
    <row r="54" spans="1:14" ht="22" customHeight="1">
      <c r="A54" s="11" t="s">
        <v>157</v>
      </c>
      <c r="B54" s="11" t="s">
        <v>90</v>
      </c>
      <c r="C54" s="11" t="str">
        <f>IF(B54="","", IFERROR(VLOOKUP(B54, حالة_الغرف_والأسعار!$A$8:$D$60, 2, FALSE), ""))</f>
        <v/>
      </c>
      <c r="D54" s="12" t="str">
        <f>IF(B54="","", IFERROR(VLOOKUP(B54, حالة_الغرف_والأسعار!$A$8:$D$60, 3, FALSE), ""))</f>
        <v/>
      </c>
      <c r="E54" s="12" t="s">
        <v>90</v>
      </c>
      <c r="F54" s="12" t="s">
        <v>90</v>
      </c>
      <c r="G54" s="11" t="s">
        <v>90</v>
      </c>
      <c r="H54" s="11" t="s">
        <v>90</v>
      </c>
      <c r="I54" s="11" t="str">
        <f t="shared" si="3"/>
        <v/>
      </c>
      <c r="J54" s="18" t="str">
        <f>IF(B54="","", IFERROR(VLOOKUP(B54, حالة_الغرف_والأسعار!$A$8:$D$60, 4, FALSE), 0))</f>
        <v/>
      </c>
      <c r="K54" s="13" t="e">
        <f t="shared" si="4"/>
        <v>#VALUE!</v>
      </c>
      <c r="L54" s="13">
        <v>0</v>
      </c>
      <c r="M54" s="13" t="e">
        <f t="shared" si="5"/>
        <v>#VALUE!</v>
      </c>
      <c r="N54" s="11" t="s">
        <v>90</v>
      </c>
    </row>
    <row r="55" spans="1:14" ht="22" customHeight="1">
      <c r="A55" s="11" t="s">
        <v>158</v>
      </c>
      <c r="B55" s="11" t="s">
        <v>90</v>
      </c>
      <c r="C55" s="11" t="str">
        <f>IF(B55="","", IFERROR(VLOOKUP(B55, حالة_الغرف_والأسعار!$A$8:$D$60, 2, FALSE), ""))</f>
        <v/>
      </c>
      <c r="D55" s="12" t="str">
        <f>IF(B55="","", IFERROR(VLOOKUP(B55, حالة_الغرف_والأسعار!$A$8:$D$60, 3, FALSE), ""))</f>
        <v/>
      </c>
      <c r="E55" s="12" t="s">
        <v>90</v>
      </c>
      <c r="F55" s="12" t="s">
        <v>90</v>
      </c>
      <c r="G55" s="11" t="s">
        <v>90</v>
      </c>
      <c r="H55" s="11" t="s">
        <v>90</v>
      </c>
      <c r="I55" s="11" t="str">
        <f t="shared" si="3"/>
        <v/>
      </c>
      <c r="J55" s="18" t="str">
        <f>IF(B55="","", IFERROR(VLOOKUP(B55, حالة_الغرف_والأسعار!$A$8:$D$60, 4, FALSE), 0))</f>
        <v/>
      </c>
      <c r="K55" s="13" t="e">
        <f t="shared" si="4"/>
        <v>#VALUE!</v>
      </c>
      <c r="L55" s="13">
        <v>0</v>
      </c>
      <c r="M55" s="13" t="e">
        <f t="shared" si="5"/>
        <v>#VALUE!</v>
      </c>
      <c r="N55" s="11" t="s">
        <v>90</v>
      </c>
    </row>
    <row r="56" spans="1:14" ht="22" customHeight="1">
      <c r="A56" s="11" t="s">
        <v>159</v>
      </c>
      <c r="B56" s="11" t="s">
        <v>90</v>
      </c>
      <c r="C56" s="11" t="str">
        <f>IF(B56="","", IFERROR(VLOOKUP(B56, حالة_الغرف_والأسعار!$A$8:$D$60, 2, FALSE), ""))</f>
        <v/>
      </c>
      <c r="D56" s="12" t="str">
        <f>IF(B56="","", IFERROR(VLOOKUP(B56, حالة_الغرف_والأسعار!$A$8:$D$60, 3, FALSE), ""))</f>
        <v/>
      </c>
      <c r="E56" s="12" t="s">
        <v>90</v>
      </c>
      <c r="F56" s="12" t="s">
        <v>90</v>
      </c>
      <c r="G56" s="11" t="s">
        <v>90</v>
      </c>
      <c r="H56" s="11" t="s">
        <v>90</v>
      </c>
      <c r="I56" s="11" t="str">
        <f t="shared" si="3"/>
        <v/>
      </c>
      <c r="J56" s="18" t="str">
        <f>IF(B56="","", IFERROR(VLOOKUP(B56, حالة_الغرف_والأسعار!$A$8:$D$60, 4, FALSE), 0))</f>
        <v/>
      </c>
      <c r="K56" s="13" t="e">
        <f t="shared" si="4"/>
        <v>#VALUE!</v>
      </c>
      <c r="L56" s="13">
        <v>0</v>
      </c>
      <c r="M56" s="13" t="e">
        <f t="shared" si="5"/>
        <v>#VALUE!</v>
      </c>
      <c r="N56" s="11" t="s">
        <v>90</v>
      </c>
    </row>
    <row r="57" spans="1:14" ht="22" customHeight="1">
      <c r="A57" s="11" t="s">
        <v>160</v>
      </c>
      <c r="B57" s="11" t="s">
        <v>90</v>
      </c>
      <c r="C57" s="11" t="str">
        <f>IF(B57="","", IFERROR(VLOOKUP(B57, حالة_الغرف_والأسعار!$A$8:$D$60, 2, FALSE), ""))</f>
        <v/>
      </c>
      <c r="D57" s="12" t="str">
        <f>IF(B57="","", IFERROR(VLOOKUP(B57, حالة_الغرف_والأسعار!$A$8:$D$60, 3, FALSE), ""))</f>
        <v/>
      </c>
      <c r="E57" s="12" t="s">
        <v>90</v>
      </c>
      <c r="F57" s="12" t="s">
        <v>90</v>
      </c>
      <c r="G57" s="11" t="s">
        <v>90</v>
      </c>
      <c r="H57" s="11" t="s">
        <v>90</v>
      </c>
      <c r="I57" s="11" t="str">
        <f t="shared" si="3"/>
        <v/>
      </c>
      <c r="J57" s="18" t="str">
        <f>IF(B57="","", IFERROR(VLOOKUP(B57, حالة_الغرف_والأسعار!$A$8:$D$60, 4, FALSE), 0))</f>
        <v/>
      </c>
      <c r="K57" s="13" t="e">
        <f t="shared" si="4"/>
        <v>#VALUE!</v>
      </c>
      <c r="L57" s="13">
        <v>0</v>
      </c>
      <c r="M57" s="13" t="e">
        <f t="shared" si="5"/>
        <v>#VALUE!</v>
      </c>
      <c r="N57" s="11" t="s">
        <v>90</v>
      </c>
    </row>
    <row r="58" spans="1:14" ht="22" customHeight="1">
      <c r="A58" s="11" t="s">
        <v>161</v>
      </c>
      <c r="B58" s="11" t="s">
        <v>90</v>
      </c>
      <c r="C58" s="11" t="str">
        <f>IF(B58="","", IFERROR(VLOOKUP(B58, حالة_الغرف_والأسعار!$A$8:$D$60, 2, FALSE), ""))</f>
        <v/>
      </c>
      <c r="D58" s="12" t="str">
        <f>IF(B58="","", IFERROR(VLOOKUP(B58, حالة_الغرف_والأسعار!$A$8:$D$60, 3, FALSE), ""))</f>
        <v/>
      </c>
      <c r="E58" s="12" t="s">
        <v>90</v>
      </c>
      <c r="F58" s="12" t="s">
        <v>90</v>
      </c>
      <c r="G58" s="11" t="s">
        <v>90</v>
      </c>
      <c r="H58" s="11" t="s">
        <v>90</v>
      </c>
      <c r="I58" s="11" t="str">
        <f t="shared" si="3"/>
        <v/>
      </c>
      <c r="J58" s="18" t="str">
        <f>IF(B58="","", IFERROR(VLOOKUP(B58, حالة_الغرف_والأسعار!$A$8:$D$60, 4, FALSE), 0))</f>
        <v/>
      </c>
      <c r="K58" s="13" t="e">
        <f t="shared" si="4"/>
        <v>#VALUE!</v>
      </c>
      <c r="L58" s="13">
        <v>0</v>
      </c>
      <c r="M58" s="13" t="e">
        <f t="shared" si="5"/>
        <v>#VALUE!</v>
      </c>
      <c r="N58" s="11" t="s">
        <v>90</v>
      </c>
    </row>
    <row r="59" spans="1:14" ht="22" customHeight="1">
      <c r="A59" s="11" t="s">
        <v>162</v>
      </c>
      <c r="B59" s="11" t="s">
        <v>90</v>
      </c>
      <c r="C59" s="11" t="str">
        <f>IF(B59="","", IFERROR(VLOOKUP(B59, حالة_الغرف_والأسعار!$A$8:$D$60, 2, FALSE), ""))</f>
        <v/>
      </c>
      <c r="D59" s="12" t="str">
        <f>IF(B59="","", IFERROR(VLOOKUP(B59, حالة_الغرف_والأسعار!$A$8:$D$60, 3, FALSE), ""))</f>
        <v/>
      </c>
      <c r="E59" s="12" t="s">
        <v>90</v>
      </c>
      <c r="F59" s="12" t="s">
        <v>90</v>
      </c>
      <c r="G59" s="11" t="s">
        <v>90</v>
      </c>
      <c r="H59" s="11" t="s">
        <v>90</v>
      </c>
      <c r="I59" s="11" t="str">
        <f t="shared" si="3"/>
        <v/>
      </c>
      <c r="J59" s="18" t="str">
        <f>IF(B59="","", IFERROR(VLOOKUP(B59, حالة_الغرف_والأسعار!$A$8:$D$60, 4, FALSE), 0))</f>
        <v/>
      </c>
      <c r="K59" s="13" t="e">
        <f t="shared" si="4"/>
        <v>#VALUE!</v>
      </c>
      <c r="L59" s="13">
        <v>0</v>
      </c>
      <c r="M59" s="13" t="e">
        <f t="shared" si="5"/>
        <v>#VALUE!</v>
      </c>
      <c r="N59" s="11" t="s">
        <v>90</v>
      </c>
    </row>
    <row r="60" spans="1:14" ht="22" customHeight="1">
      <c r="A60" s="11" t="s">
        <v>163</v>
      </c>
      <c r="B60" s="11" t="s">
        <v>90</v>
      </c>
      <c r="C60" s="11" t="str">
        <f>IF(B60="","", IFERROR(VLOOKUP(B60, حالة_الغرف_والأسعار!$A$8:$D$60, 2, FALSE), ""))</f>
        <v/>
      </c>
      <c r="D60" s="12" t="str">
        <f>IF(B60="","", IFERROR(VLOOKUP(B60, حالة_الغرف_والأسعار!$A$8:$D$60, 3, FALSE), ""))</f>
        <v/>
      </c>
      <c r="E60" s="12" t="s">
        <v>90</v>
      </c>
      <c r="F60" s="12" t="s">
        <v>90</v>
      </c>
      <c r="G60" s="11" t="s">
        <v>90</v>
      </c>
      <c r="H60" s="11" t="s">
        <v>90</v>
      </c>
      <c r="I60" s="11" t="str">
        <f t="shared" si="3"/>
        <v/>
      </c>
      <c r="J60" s="18" t="str">
        <f>IF(B60="","", IFERROR(VLOOKUP(B60, حالة_الغرف_والأسعار!$A$8:$D$60, 4, FALSE), 0))</f>
        <v/>
      </c>
      <c r="K60" s="13" t="e">
        <f t="shared" si="4"/>
        <v>#VALUE!</v>
      </c>
      <c r="L60" s="13">
        <v>0</v>
      </c>
      <c r="M60" s="13" t="e">
        <f t="shared" si="5"/>
        <v>#VALUE!</v>
      </c>
      <c r="N60" s="11" t="s">
        <v>90</v>
      </c>
    </row>
    <row r="61" spans="1:14" ht="22" customHeight="1">
      <c r="A61" s="11" t="s">
        <v>164</v>
      </c>
      <c r="B61" s="11" t="s">
        <v>90</v>
      </c>
      <c r="C61" s="11" t="str">
        <f>IF(B61="","", IFERROR(VLOOKUP(B61, حالة_الغرف_والأسعار!$A$8:$D$60, 2, FALSE), ""))</f>
        <v/>
      </c>
      <c r="D61" s="12" t="str">
        <f>IF(B61="","", IFERROR(VLOOKUP(B61, حالة_الغرف_والأسعار!$A$8:$D$60, 3, FALSE), ""))</f>
        <v/>
      </c>
      <c r="E61" s="12" t="s">
        <v>90</v>
      </c>
      <c r="F61" s="12" t="s">
        <v>90</v>
      </c>
      <c r="G61" s="11" t="s">
        <v>90</v>
      </c>
      <c r="H61" s="11" t="s">
        <v>90</v>
      </c>
      <c r="I61" s="11" t="str">
        <f t="shared" si="3"/>
        <v/>
      </c>
      <c r="J61" s="18" t="str">
        <f>IF(B61="","", IFERROR(VLOOKUP(B61, حالة_الغرف_والأسعار!$A$8:$D$60, 4, FALSE), 0))</f>
        <v/>
      </c>
      <c r="K61" s="13" t="e">
        <f t="shared" si="4"/>
        <v>#VALUE!</v>
      </c>
      <c r="L61" s="13">
        <v>0</v>
      </c>
      <c r="M61" s="13" t="e">
        <f t="shared" si="5"/>
        <v>#VALUE!</v>
      </c>
      <c r="N61" s="11" t="s">
        <v>90</v>
      </c>
    </row>
    <row r="62" spans="1:14" ht="22" customHeight="1">
      <c r="A62" s="11" t="s">
        <v>165</v>
      </c>
      <c r="B62" s="11" t="s">
        <v>90</v>
      </c>
      <c r="C62" s="11" t="str">
        <f>IF(B62="","", IFERROR(VLOOKUP(B62, حالة_الغرف_والأسعار!$A$8:$D$60, 2, FALSE), ""))</f>
        <v/>
      </c>
      <c r="D62" s="12" t="str">
        <f>IF(B62="","", IFERROR(VLOOKUP(B62, حالة_الغرف_والأسعار!$A$8:$D$60, 3, FALSE), ""))</f>
        <v/>
      </c>
      <c r="E62" s="12" t="s">
        <v>90</v>
      </c>
      <c r="F62" s="12" t="s">
        <v>90</v>
      </c>
      <c r="G62" s="11" t="s">
        <v>90</v>
      </c>
      <c r="H62" s="11" t="s">
        <v>90</v>
      </c>
      <c r="I62" s="11" t="str">
        <f t="shared" si="3"/>
        <v/>
      </c>
      <c r="J62" s="18" t="str">
        <f>IF(B62="","", IFERROR(VLOOKUP(B62, حالة_الغرف_والأسعار!$A$8:$D$60, 4, FALSE), 0))</f>
        <v/>
      </c>
      <c r="K62" s="13" t="e">
        <f t="shared" si="4"/>
        <v>#VALUE!</v>
      </c>
      <c r="L62" s="13">
        <v>0</v>
      </c>
      <c r="M62" s="13" t="e">
        <f t="shared" si="5"/>
        <v>#VALUE!</v>
      </c>
      <c r="N62" s="11" t="s">
        <v>90</v>
      </c>
    </row>
    <row r="63" spans="1:14" ht="22" customHeight="1">
      <c r="A63" s="11" t="s">
        <v>166</v>
      </c>
      <c r="B63" s="11" t="s">
        <v>90</v>
      </c>
      <c r="C63" s="11" t="str">
        <f>IF(B63="","", IFERROR(VLOOKUP(B63, حالة_الغرف_والأسعار!$A$8:$D$60, 2, FALSE), ""))</f>
        <v/>
      </c>
      <c r="D63" s="12" t="str">
        <f>IF(B63="","", IFERROR(VLOOKUP(B63, حالة_الغرف_والأسعار!$A$8:$D$60, 3, FALSE), ""))</f>
        <v/>
      </c>
      <c r="E63" s="12" t="s">
        <v>90</v>
      </c>
      <c r="F63" s="12" t="s">
        <v>90</v>
      </c>
      <c r="G63" s="11" t="s">
        <v>90</v>
      </c>
      <c r="H63" s="11" t="s">
        <v>90</v>
      </c>
      <c r="I63" s="11" t="str">
        <f t="shared" si="3"/>
        <v/>
      </c>
      <c r="J63" s="18" t="str">
        <f>IF(B63="","", IFERROR(VLOOKUP(B63, حالة_الغرف_والأسعار!$A$8:$D$60, 4, FALSE), 0))</f>
        <v/>
      </c>
      <c r="K63" s="13" t="e">
        <f t="shared" si="4"/>
        <v>#VALUE!</v>
      </c>
      <c r="L63" s="13">
        <v>0</v>
      </c>
      <c r="M63" s="13" t="e">
        <f t="shared" si="5"/>
        <v>#VALUE!</v>
      </c>
      <c r="N63" s="11" t="s">
        <v>90</v>
      </c>
    </row>
    <row r="64" spans="1:14" ht="28" customHeight="1">
      <c r="A64" s="31" t="s">
        <v>167</v>
      </c>
      <c r="B64" s="31"/>
      <c r="C64" s="31"/>
      <c r="D64" s="31"/>
      <c r="E64" s="31"/>
      <c r="F64" s="31"/>
      <c r="G64" s="31"/>
      <c r="H64" s="31"/>
      <c r="I64" s="31"/>
      <c r="J64" s="31"/>
      <c r="K64" s="19" t="e">
        <f>SUM(K4:K63)</f>
        <v>#VALUE!</v>
      </c>
      <c r="L64" s="20">
        <f>SUM(L4:L63)</f>
        <v>0</v>
      </c>
      <c r="M64" s="21" t="e">
        <f>SUM(M4:M63)</f>
        <v>#VALUE!</v>
      </c>
      <c r="N64" s="1" t="s">
        <v>168</v>
      </c>
    </row>
  </sheetData>
  <mergeCells count="2">
    <mergeCell ref="A1:N1"/>
    <mergeCell ref="A64:J64"/>
  </mergeCells>
  <dataValidations count="2">
    <dataValidation type="list" allowBlank="1" sqref="B4:B63" xr:uid="{00000000-0002-0000-0200-000000000000}">
      <formula1>قائمة_الغرف</formula1>
    </dataValidation>
    <dataValidation type="list" allowBlank="1" sqref="N4:N63" xr:uid="{00000000-0002-0000-0200-000002000000}">
      <formula1>طرق_الدفع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rightToLeft="1" workbookViewId="0">
      <selection sqref="A1:F1"/>
    </sheetView>
  </sheetViews>
  <sheetFormatPr defaultRowHeight="14.5"/>
  <cols>
    <col min="1" max="1" width="8" customWidth="1"/>
    <col min="2" max="2" width="28" customWidth="1"/>
    <col min="3" max="3" width="16" customWidth="1"/>
    <col min="4" max="5" width="24" customWidth="1"/>
    <col min="6" max="6" width="35" customWidth="1"/>
  </cols>
  <sheetData>
    <row r="1" spans="1:6" ht="36" customHeight="1">
      <c r="A1" s="33" t="s">
        <v>169</v>
      </c>
      <c r="B1" s="33"/>
      <c r="C1" s="33"/>
      <c r="D1" s="33"/>
      <c r="E1" s="33"/>
      <c r="F1" s="33"/>
    </row>
    <row r="3" spans="1:6" ht="26" customHeight="1">
      <c r="A3" s="22" t="s">
        <v>170</v>
      </c>
      <c r="B3" s="22" t="s">
        <v>21</v>
      </c>
      <c r="C3" s="22" t="s">
        <v>171</v>
      </c>
      <c r="D3" s="22" t="s">
        <v>172</v>
      </c>
      <c r="E3" s="22" t="s">
        <v>173</v>
      </c>
      <c r="F3" s="22" t="s">
        <v>174</v>
      </c>
    </row>
    <row r="4" spans="1:6" ht="24" customHeight="1">
      <c r="A4" s="11">
        <v>1</v>
      </c>
      <c r="B4" s="12" t="s">
        <v>175</v>
      </c>
      <c r="C4" s="11" t="s">
        <v>176</v>
      </c>
      <c r="D4" s="12" t="s">
        <v>177</v>
      </c>
      <c r="E4" s="10" t="s">
        <v>178</v>
      </c>
      <c r="F4" s="12" t="s">
        <v>179</v>
      </c>
    </row>
    <row r="5" spans="1:6" ht="24" customHeight="1">
      <c r="A5" s="11">
        <v>2</v>
      </c>
      <c r="B5" s="12" t="s">
        <v>180</v>
      </c>
      <c r="C5" s="11" t="s">
        <v>181</v>
      </c>
      <c r="D5" s="12" t="s">
        <v>182</v>
      </c>
      <c r="E5" s="10" t="s">
        <v>183</v>
      </c>
      <c r="F5" s="12" t="s">
        <v>184</v>
      </c>
    </row>
    <row r="6" spans="1:6" ht="24" customHeight="1">
      <c r="A6" s="11">
        <v>3</v>
      </c>
      <c r="B6" s="12" t="s">
        <v>185</v>
      </c>
      <c r="C6" s="11" t="s">
        <v>181</v>
      </c>
      <c r="D6" s="12" t="s">
        <v>182</v>
      </c>
      <c r="E6" s="10" t="s">
        <v>186</v>
      </c>
      <c r="F6" s="12" t="s">
        <v>187</v>
      </c>
    </row>
    <row r="7" spans="1:6" ht="24" customHeight="1">
      <c r="A7" s="11">
        <v>4</v>
      </c>
      <c r="B7" s="12" t="s">
        <v>188</v>
      </c>
      <c r="C7" s="11" t="s">
        <v>181</v>
      </c>
      <c r="D7" s="12" t="s">
        <v>189</v>
      </c>
      <c r="E7" s="10" t="s">
        <v>190</v>
      </c>
      <c r="F7" s="12" t="s">
        <v>191</v>
      </c>
    </row>
    <row r="8" spans="1:6" ht="24" customHeight="1">
      <c r="A8" s="11">
        <v>5</v>
      </c>
      <c r="B8" s="12" t="s">
        <v>192</v>
      </c>
      <c r="C8" s="11" t="s">
        <v>193</v>
      </c>
      <c r="D8" s="12" t="s">
        <v>194</v>
      </c>
      <c r="E8" s="10" t="s">
        <v>195</v>
      </c>
      <c r="F8" s="12" t="s">
        <v>196</v>
      </c>
    </row>
    <row r="9" spans="1:6" ht="24" customHeight="1">
      <c r="A9" s="11">
        <v>6</v>
      </c>
      <c r="B9" s="12" t="s">
        <v>197</v>
      </c>
      <c r="C9" s="11" t="s">
        <v>198</v>
      </c>
      <c r="D9" s="12" t="s">
        <v>199</v>
      </c>
      <c r="E9" s="10" t="s">
        <v>200</v>
      </c>
      <c r="F9" s="12" t="s">
        <v>201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إعدادات_النظام</vt:lpstr>
      <vt:lpstr>حالة_الغرف_والأسعار</vt:lpstr>
      <vt:lpstr>سجل_الحجوزات</vt:lpstr>
      <vt:lpstr>دليل_الأنواع_والأسعار</vt:lpstr>
      <vt:lpstr>طرق_الدفع</vt:lpstr>
      <vt:lpstr>قائمة_الغرف</vt:lpstr>
      <vt:lpstr>قائمة_حالات_الغرفة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2026-09-08T13:26:07Z</dcterms:created>
  <dcterms:modified xsi:type="dcterms:W3CDTF">2026-09-08T13:31:05Z</dcterms:modified>
  <cp:category/>
</cp:coreProperties>
</file>