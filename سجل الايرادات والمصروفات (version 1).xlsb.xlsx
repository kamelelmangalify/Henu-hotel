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10DCB9BB-DB92-40F9-A3F5-1B9D74E573F1}" xr6:coauthVersionLast="47" xr6:coauthVersionMax="47" xr10:uidLastSave="{00000000-0000-0000-0000-000000000000}"/>
  <bookViews>
    <workbookView xWindow="-110" yWindow="-110" windowWidth="19420" windowHeight="10300" activeTab="3" xr2:uid="{B3249B00-A14B-4484-9177-C0A03E3FFFA3}"/>
  </bookViews>
  <sheets>
    <sheet name="1-A Petty Cash" sheetId="1" r:id="rId1"/>
    <sheet name="Sheet1" sheetId="2" r:id="rId2"/>
    <sheet name="1-B Petty Cash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7" i="4" l="1"/>
  <c r="H4" i="4"/>
  <c r="H35" i="4"/>
  <c r="H37" i="3"/>
  <c r="J4" i="3"/>
  <c r="H4" i="3"/>
  <c r="H35" i="3" s="1"/>
  <c r="G4" i="3"/>
  <c r="G35" i="3" s="1"/>
  <c r="G4" i="4" s="1"/>
  <c r="G35" i="4" s="1"/>
  <c r="J9" i="1"/>
  <c r="K9" i="1"/>
  <c r="H36" i="1"/>
  <c r="H4" i="2" s="1"/>
  <c r="H35" i="2" s="1"/>
  <c r="G36" i="1"/>
  <c r="G4" i="2" s="1"/>
  <c r="J4" i="1"/>
  <c r="K4" i="1" s="1"/>
  <c r="J4" i="4" l="1"/>
  <c r="J5" i="3"/>
  <c r="K4" i="3"/>
  <c r="J4" i="2"/>
  <c r="J5" i="2" s="1"/>
  <c r="J6" i="2" s="1"/>
  <c r="G35" i="2"/>
  <c r="J5" i="1"/>
  <c r="J5" i="4" l="1"/>
  <c r="K4" i="4"/>
  <c r="K5" i="3"/>
  <c r="J6" i="3"/>
  <c r="J7" i="3" s="1"/>
  <c r="K4" i="2"/>
  <c r="K5" i="2"/>
  <c r="J7" i="2"/>
  <c r="K6" i="2"/>
  <c r="J6" i="1"/>
  <c r="K5" i="1"/>
  <c r="K5" i="4" l="1"/>
  <c r="J6" i="4"/>
  <c r="K6" i="3"/>
  <c r="J8" i="3"/>
  <c r="K7" i="3"/>
  <c r="J8" i="2"/>
  <c r="K7" i="2"/>
  <c r="J7" i="1"/>
  <c r="K6" i="1"/>
  <c r="J7" i="4" l="1"/>
  <c r="K6" i="4"/>
  <c r="J9" i="3"/>
  <c r="K8" i="3"/>
  <c r="K8" i="2"/>
  <c r="J9" i="2"/>
  <c r="J8" i="1"/>
  <c r="K7" i="1"/>
  <c r="J8" i="4" l="1"/>
  <c r="K7" i="4"/>
  <c r="K9" i="3"/>
  <c r="J10" i="3"/>
  <c r="K9" i="2"/>
  <c r="J10" i="2"/>
  <c r="K8" i="1"/>
  <c r="J9" i="4" l="1"/>
  <c r="K8" i="4"/>
  <c r="J11" i="3"/>
  <c r="K10" i="3"/>
  <c r="J11" i="2"/>
  <c r="K10" i="2"/>
  <c r="J11" i="1"/>
  <c r="J12" i="1" s="1"/>
  <c r="K12" i="1" s="1"/>
  <c r="J10" i="4" l="1"/>
  <c r="K9" i="4"/>
  <c r="J12" i="3"/>
  <c r="K11" i="3"/>
  <c r="K11" i="2"/>
  <c r="J12" i="2"/>
  <c r="K11" i="1"/>
  <c r="K10" i="4" l="1"/>
  <c r="J11" i="4"/>
  <c r="J13" i="3"/>
  <c r="K12" i="3"/>
  <c r="K12" i="2"/>
  <c r="J13" i="2"/>
  <c r="J13" i="1"/>
  <c r="K11" i="4" l="1"/>
  <c r="J12" i="4"/>
  <c r="J14" i="3"/>
  <c r="K13" i="3"/>
  <c r="J14" i="2"/>
  <c r="K13" i="2"/>
  <c r="J14" i="1"/>
  <c r="K13" i="1"/>
  <c r="K12" i="4" l="1"/>
  <c r="J13" i="4"/>
  <c r="J15" i="3"/>
  <c r="K14" i="3"/>
  <c r="J15" i="2"/>
  <c r="K14" i="2"/>
  <c r="J15" i="1"/>
  <c r="K14" i="1"/>
  <c r="K13" i="4" l="1"/>
  <c r="J14" i="4"/>
  <c r="K15" i="3"/>
  <c r="J16" i="3"/>
  <c r="K15" i="2"/>
  <c r="J16" i="2"/>
  <c r="J16" i="1"/>
  <c r="K15" i="1"/>
  <c r="J15" i="4" l="1"/>
  <c r="K14" i="4"/>
  <c r="J17" i="3"/>
  <c r="K16" i="3"/>
  <c r="J17" i="2"/>
  <c r="K16" i="2"/>
  <c r="J17" i="1"/>
  <c r="K16" i="1"/>
  <c r="J16" i="4" l="1"/>
  <c r="K15" i="4"/>
  <c r="J18" i="3"/>
  <c r="K17" i="3"/>
  <c r="K17" i="2"/>
  <c r="J18" i="2"/>
  <c r="J18" i="1"/>
  <c r="K17" i="1"/>
  <c r="K16" i="4" l="1"/>
  <c r="J17" i="4"/>
  <c r="J19" i="3"/>
  <c r="K18" i="3"/>
  <c r="K18" i="2"/>
  <c r="J19" i="2"/>
  <c r="J19" i="1"/>
  <c r="K18" i="1"/>
  <c r="K17" i="4" l="1"/>
  <c r="J18" i="4"/>
  <c r="J20" i="3"/>
  <c r="K19" i="3"/>
  <c r="J20" i="2"/>
  <c r="K19" i="2"/>
  <c r="J20" i="1"/>
  <c r="K19" i="1"/>
  <c r="J19" i="4" l="1"/>
  <c r="K18" i="4"/>
  <c r="J21" i="3"/>
  <c r="K20" i="3"/>
  <c r="J21" i="2"/>
  <c r="K20" i="2"/>
  <c r="J21" i="1"/>
  <c r="K20" i="1"/>
  <c r="J20" i="4" l="1"/>
  <c r="K19" i="4"/>
  <c r="J22" i="3"/>
  <c r="K21" i="3"/>
  <c r="K21" i="2"/>
  <c r="J22" i="2"/>
  <c r="J22" i="1"/>
  <c r="K21" i="1"/>
  <c r="J21" i="4" l="1"/>
  <c r="K20" i="4"/>
  <c r="J23" i="3"/>
  <c r="K22" i="3"/>
  <c r="J23" i="2"/>
  <c r="K22" i="2"/>
  <c r="J23" i="1"/>
  <c r="K22" i="1"/>
  <c r="J22" i="4" l="1"/>
  <c r="K21" i="4"/>
  <c r="J24" i="3"/>
  <c r="K23" i="3"/>
  <c r="K23" i="2"/>
  <c r="J24" i="2"/>
  <c r="J24" i="1"/>
  <c r="K23" i="1"/>
  <c r="J23" i="4" l="1"/>
  <c r="K22" i="4"/>
  <c r="J25" i="3"/>
  <c r="K24" i="3"/>
  <c r="J25" i="2"/>
  <c r="K24" i="2"/>
  <c r="J25" i="1"/>
  <c r="K24" i="1"/>
  <c r="K23" i="4" l="1"/>
  <c r="J24" i="4"/>
  <c r="J26" i="3"/>
  <c r="K25" i="3"/>
  <c r="J26" i="2"/>
  <c r="K25" i="2"/>
  <c r="J26" i="1"/>
  <c r="K25" i="1"/>
  <c r="K24" i="4" l="1"/>
  <c r="J25" i="4"/>
  <c r="J27" i="3"/>
  <c r="K26" i="3"/>
  <c r="K26" i="2"/>
  <c r="J27" i="2"/>
  <c r="J27" i="1"/>
  <c r="K26" i="1"/>
  <c r="J26" i="4" l="1"/>
  <c r="K25" i="4"/>
  <c r="J28" i="3"/>
  <c r="K27" i="3"/>
  <c r="K27" i="2"/>
  <c r="J28" i="2"/>
  <c r="J28" i="1"/>
  <c r="K27" i="1"/>
  <c r="J27" i="4" l="1"/>
  <c r="K26" i="4"/>
  <c r="J29" i="3"/>
  <c r="K28" i="3"/>
  <c r="J29" i="2"/>
  <c r="K28" i="2"/>
  <c r="J29" i="1"/>
  <c r="K28" i="1"/>
  <c r="J28" i="4" l="1"/>
  <c r="K27" i="4"/>
  <c r="J30" i="3"/>
  <c r="K29" i="3"/>
  <c r="K29" i="2"/>
  <c r="J30" i="2"/>
  <c r="J30" i="1"/>
  <c r="K29" i="1"/>
  <c r="K28" i="4" l="1"/>
  <c r="J29" i="4"/>
  <c r="J31" i="3"/>
  <c r="K30" i="3"/>
  <c r="J31" i="2"/>
  <c r="K30" i="2"/>
  <c r="J31" i="1"/>
  <c r="K30" i="1"/>
  <c r="K29" i="4" l="1"/>
  <c r="J30" i="4"/>
  <c r="J32" i="3"/>
  <c r="K31" i="3"/>
  <c r="K31" i="2"/>
  <c r="J32" i="2"/>
  <c r="J32" i="1"/>
  <c r="K31" i="1"/>
  <c r="K30" i="4" l="1"/>
  <c r="J31" i="4"/>
  <c r="J33" i="3"/>
  <c r="K32" i="3"/>
  <c r="K32" i="2"/>
  <c r="J33" i="2"/>
  <c r="J33" i="1"/>
  <c r="K32" i="1"/>
  <c r="K31" i="4" l="1"/>
  <c r="J32" i="4"/>
  <c r="J34" i="3"/>
  <c r="K33" i="3"/>
  <c r="J34" i="2"/>
  <c r="K34" i="2" s="1"/>
  <c r="K33" i="2"/>
  <c r="J34" i="1"/>
  <c r="K33" i="1"/>
  <c r="J33" i="4" l="1"/>
  <c r="K32" i="4"/>
  <c r="K34" i="3"/>
  <c r="H38" i="3"/>
  <c r="K34" i="1"/>
  <c r="J35" i="1"/>
  <c r="K35" i="1" s="1"/>
  <c r="J34" i="4" l="1"/>
  <c r="K33" i="4"/>
  <c r="K34" i="4" l="1"/>
  <c r="G38" i="4"/>
  <c r="G39" i="4" s="1"/>
</calcChain>
</file>

<file path=xl/sharedStrings.xml><?xml version="1.0" encoding="utf-8"?>
<sst xmlns="http://schemas.openxmlformats.org/spreadsheetml/2006/main" count="198" uniqueCount="137">
  <si>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</si>
  <si>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</si>
  <si>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</si>
  <si>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</si>
  <si>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</si>
  <si>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</si>
  <si>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</si>
  <si>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</si>
  <si>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</si>
  <si>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</si>
  <si>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</si>
  <si>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</si>
  <si>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</si>
  <si>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</si>
  <si>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</si>
  <si>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</si>
  <si>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</si>
  <si>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</si>
  <si>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</si>
  <si>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</si>
  <si>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</si>
  <si>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</si>
  <si>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</si>
  <si>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</si>
  <si>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</si>
  <si>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</si>
  <si>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</si>
  <si>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</si>
  <si>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</si>
  <si>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</si>
  <si>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</si>
  <si>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</si>
  <si>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</si>
  <si>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</si>
  <si>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</si>
  <si>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</si>
  <si>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</si>
  <si>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</si>
  <si>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</si>
  <si>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</si>
  <si>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</si>
  <si>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</si>
  <si>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</si>
  <si>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</si>
  <si>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</si>
  <si>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</si>
  <si>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</si>
  <si>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</si>
  <si>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</si>
  <si>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</si>
  <si>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</si>
  <si>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</si>
  <si>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</si>
  <si>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</si>
  <si>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</si>
  <si>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</si>
  <si>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</si>
  <si>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</si>
  <si>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</si>
  <si>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</si>
  <si>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</si>
  <si>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</si>
  <si>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</si>
  <si>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</si>
  <si>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</si>
  <si>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</si>
  <si>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</si>
  <si>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</si>
  <si>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</si>
  <si>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</si>
  <si>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</si>
  <si>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</si>
  <si>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</si>
  <si>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</si>
  <si>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</si>
  <si>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</si>
  <si>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</si>
  <si>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</si>
  <si>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</si>
  <si>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</si>
  <si>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</si>
  <si>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</si>
  <si>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</si>
  <si>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</si>
  <si>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</si>
  <si>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</si>
  <si>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</si>
  <si>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توصيل المفروشات </t>
  </si>
  <si>
    <t xml:space="preserve">باقي حساب احمد كاميرات </t>
  </si>
  <si>
    <t xml:space="preserve">تم تقفيل الحساب القديم </t>
  </si>
  <si>
    <t xml:space="preserve">باقي مكافأة يوسف </t>
  </si>
  <si>
    <t xml:space="preserve">مكافأة مبيت وعمل اضافي </t>
  </si>
  <si>
    <t>كرتون ماء 5*130</t>
  </si>
  <si>
    <t xml:space="preserve">تمويل من المالك شيك بنكي </t>
  </si>
  <si>
    <t xml:space="preserve">تمويل من المالك 2600 دولار *50.20 </t>
  </si>
  <si>
    <t>مواصلات صرف الشيك وتغيير الدولارات</t>
  </si>
  <si>
    <t>ايجار غرفتين 401 و 405 ليلة واحدة *1000 لغرفة</t>
  </si>
  <si>
    <t>ايجار شهر اغسطس</t>
  </si>
  <si>
    <t>عند الاستاذ خالد باقي حساب بينه وبين مكرونة</t>
  </si>
  <si>
    <t>سلفة ل جومانة وجيه من الراتب</t>
  </si>
  <si>
    <t xml:space="preserve">مسامير تعليق التابلوهات في غرف الدور 1و 2 </t>
  </si>
  <si>
    <t xml:space="preserve">مصنعية النجار لتعليق البراويزوضبط الابواب </t>
  </si>
  <si>
    <t xml:space="preserve">سلفة  ل مدحت من الراتب </t>
  </si>
  <si>
    <t xml:space="preserve">تمويل من المالك </t>
  </si>
  <si>
    <t>تحويل بنكي بتاريخ اليوم</t>
  </si>
  <si>
    <t>صواني القهوة للغرف 8 وادوات مكتبية</t>
  </si>
  <si>
    <t xml:space="preserve">مجموعة تجميع السرير للنجار </t>
  </si>
  <si>
    <t>ملة سرير 160سم للجناح</t>
  </si>
  <si>
    <t>اطباق واكواب من امازون</t>
  </si>
  <si>
    <t xml:space="preserve">حساب النجار تقفيل كل شغل النجارة </t>
  </si>
  <si>
    <t>تقفيل كل الحساب القديم</t>
  </si>
  <si>
    <t>ماء وسوفت درينك للحفلة</t>
  </si>
  <si>
    <t>مشتريات نسكافيه ومنظفات وعصائر</t>
  </si>
  <si>
    <t>مبيت يوسف</t>
  </si>
  <si>
    <t>تمويل من المالك لشراء امواب واطباق</t>
  </si>
  <si>
    <t xml:space="preserve">غسيل السجاد </t>
  </si>
  <si>
    <t>سلفة من راتب يوسف</t>
  </si>
  <si>
    <t>مناديل ورول تواليت</t>
  </si>
  <si>
    <t>فاتورة التليفونات الارضي</t>
  </si>
  <si>
    <t>فاتورة الانترنت الارضي</t>
  </si>
  <si>
    <t>هدايا للاطفال</t>
  </si>
  <si>
    <t>لبن ومصفاة للمطبخ</t>
  </si>
  <si>
    <t>كباب وكفتة</t>
  </si>
  <si>
    <t>فاتورة ماكدوتالدز</t>
  </si>
  <si>
    <t xml:space="preserve">فاتورة بيزا هت </t>
  </si>
  <si>
    <t xml:space="preserve">سلفة من الراتب ل يوسف </t>
  </si>
  <si>
    <t>سلفة من الراتب ل جومانة</t>
  </si>
  <si>
    <t>ثلج</t>
  </si>
  <si>
    <t>شاليموه</t>
  </si>
  <si>
    <t>ايراد غرفة 406 3 ليالي</t>
  </si>
  <si>
    <t xml:space="preserve">دفعة من حساب المفروشات </t>
  </si>
  <si>
    <t xml:space="preserve">باقي 13230 دفعة اخيرة وتم استلام كل الطلبية اذن تسليم رقم بيان سعر رقم 4113 بتاريخ 22 اغسطس </t>
  </si>
  <si>
    <t>عهدة الاستقبال</t>
  </si>
  <si>
    <t>حسب الكشف المرفق</t>
  </si>
  <si>
    <t>جركن زيت للمصعد 410 و 370 افطار الغرف 3 ايام و100 مسامير ومستلزمات تركيب الاسرة</t>
  </si>
  <si>
    <t xml:space="preserve">فواتير مياه 4 شهور </t>
  </si>
  <si>
    <t>فاتورة مكافحةالحشرات شهر اغسطس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</si>
</sst>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4" workbookViewId="0">
      <selection activeCell="E18" sqref="E18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18"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82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83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8"/>
  <sheetViews>
    <sheetView rightToLeft="1" topLeftCell="A24" workbookViewId="0">
      <selection activeCell="J34" sqref="J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84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64</v>
      </c>
      <c r="B6" s="9">
        <v>46247</v>
      </c>
      <c r="C6" s="5"/>
      <c r="D6" s="5"/>
      <c r="E6" s="5" t="s">
        <v>85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65</v>
      </c>
      <c r="B7" s="9">
        <v>46248</v>
      </c>
      <c r="C7" s="5"/>
      <c r="D7" s="5"/>
      <c r="E7" s="10" t="s">
        <v>86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66</v>
      </c>
      <c r="B8" s="9">
        <v>46248</v>
      </c>
      <c r="C8" s="5"/>
      <c r="D8" s="5"/>
      <c r="E8" s="10" t="s">
        <v>133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 t="s">
        <v>134</v>
      </c>
      <c r="M8" s="5"/>
      <c r="N8" s="5"/>
    </row>
    <row r="9" spans="1:14" x14ac:dyDescent="0.35">
      <c r="A9" s="5">
        <v>67</v>
      </c>
      <c r="B9" s="9">
        <v>46248</v>
      </c>
      <c r="C9" s="5"/>
      <c r="D9" s="5"/>
      <c r="E9" s="10" t="s">
        <v>87</v>
      </c>
      <c r="F9" s="5"/>
      <c r="G9" s="5">
        <v>350</v>
      </c>
      <c r="H9" s="5"/>
      <c r="I9" s="5"/>
      <c r="J9" s="5">
        <f t="shared" si="1"/>
        <v>33166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68</v>
      </c>
      <c r="B10" s="9">
        <v>46248</v>
      </c>
      <c r="C10" s="5"/>
      <c r="D10" s="5"/>
      <c r="E10" s="10" t="s">
        <v>88</v>
      </c>
      <c r="F10" s="5"/>
      <c r="G10" s="5">
        <v>2500</v>
      </c>
      <c r="H10" s="5"/>
      <c r="I10" s="5"/>
      <c r="J10" s="5">
        <f t="shared" si="1"/>
        <v>30666</v>
      </c>
      <c r="K10" s="5" t="str">
        <f t="shared" si="0"/>
        <v>مقبول</v>
      </c>
      <c r="L10" s="5" t="s">
        <v>89</v>
      </c>
      <c r="M10" s="5"/>
      <c r="N10" s="5"/>
    </row>
    <row r="11" spans="1:14" x14ac:dyDescent="0.35">
      <c r="A11" s="5">
        <v>69</v>
      </c>
      <c r="B11" s="9">
        <v>46248</v>
      </c>
      <c r="C11" s="5"/>
      <c r="D11" s="5"/>
      <c r="E11" s="10" t="s">
        <v>90</v>
      </c>
      <c r="F11" s="5"/>
      <c r="G11" s="5">
        <v>1000</v>
      </c>
      <c r="H11" s="5"/>
      <c r="I11" s="5"/>
      <c r="J11" s="5">
        <f t="shared" si="1"/>
        <v>29666</v>
      </c>
      <c r="K11" s="5" t="str">
        <f t="shared" si="0"/>
        <v>مقبول</v>
      </c>
      <c r="L11" s="5" t="s">
        <v>91</v>
      </c>
      <c r="M11" s="5"/>
      <c r="N11" s="5"/>
    </row>
    <row r="12" spans="1:14" x14ac:dyDescent="0.35">
      <c r="A12" s="5">
        <v>70</v>
      </c>
      <c r="B12" s="9">
        <v>46249</v>
      </c>
      <c r="C12" s="5"/>
      <c r="D12" s="5"/>
      <c r="E12" s="10" t="s">
        <v>92</v>
      </c>
      <c r="F12" s="5"/>
      <c r="G12" s="5">
        <v>650</v>
      </c>
      <c r="H12" s="5"/>
      <c r="I12" s="5"/>
      <c r="J12" s="5">
        <f t="shared" si="1"/>
        <v>29016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71</v>
      </c>
      <c r="B13" s="9">
        <v>46250</v>
      </c>
      <c r="C13" s="5"/>
      <c r="D13" s="5"/>
      <c r="E13" s="10" t="s">
        <v>93</v>
      </c>
      <c r="F13" s="5"/>
      <c r="G13" s="5"/>
      <c r="H13" s="5">
        <v>120000</v>
      </c>
      <c r="I13" s="5"/>
      <c r="J13" s="5">
        <f t="shared" si="1"/>
        <v>149016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72</v>
      </c>
      <c r="B14" s="9">
        <v>46250</v>
      </c>
      <c r="C14" s="5"/>
      <c r="D14" s="5"/>
      <c r="E14" s="5" t="s">
        <v>94</v>
      </c>
      <c r="F14" s="5"/>
      <c r="G14" s="5"/>
      <c r="H14" s="5">
        <v>130520</v>
      </c>
      <c r="I14" s="5"/>
      <c r="J14" s="5">
        <f t="shared" si="1"/>
        <v>279536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73</v>
      </c>
      <c r="B15" s="9">
        <v>46250</v>
      </c>
      <c r="C15" s="5"/>
      <c r="D15" s="5"/>
      <c r="E15" s="5" t="s">
        <v>95</v>
      </c>
      <c r="F15" s="5"/>
      <c r="G15" s="5">
        <v>270</v>
      </c>
      <c r="H15" s="5"/>
      <c r="I15" s="5"/>
      <c r="J15" s="5">
        <f t="shared" si="1"/>
        <v>279266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74</v>
      </c>
      <c r="B16" s="9">
        <v>46251</v>
      </c>
      <c r="C16" s="5"/>
      <c r="D16" s="5"/>
      <c r="E16" s="5" t="s">
        <v>96</v>
      </c>
      <c r="F16" s="5"/>
      <c r="G16" s="5"/>
      <c r="H16" s="5">
        <v>2000</v>
      </c>
      <c r="I16" s="5"/>
      <c r="J16" s="5">
        <f t="shared" si="1"/>
        <v>281266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75</v>
      </c>
      <c r="B17" s="9">
        <v>46251</v>
      </c>
      <c r="C17" s="5"/>
      <c r="D17" s="5"/>
      <c r="E17" s="5" t="s">
        <v>97</v>
      </c>
      <c r="F17" s="5"/>
      <c r="G17" s="5">
        <v>220000</v>
      </c>
      <c r="H17" s="5"/>
      <c r="I17" s="5"/>
      <c r="J17" s="5">
        <f t="shared" si="1"/>
        <v>61266</v>
      </c>
      <c r="K17" s="5" t="str">
        <f t="shared" si="0"/>
        <v>مقبول</v>
      </c>
      <c r="L17" s="5"/>
      <c r="M17" s="5"/>
      <c r="N17" s="5"/>
    </row>
    <row r="18" spans="1:14" x14ac:dyDescent="0.35">
      <c r="A18" s="5">
        <v>76</v>
      </c>
      <c r="B18" s="9">
        <v>46251</v>
      </c>
      <c r="C18" s="5"/>
      <c r="D18" s="5"/>
      <c r="E18" s="5" t="s">
        <v>98</v>
      </c>
      <c r="F18" s="5"/>
      <c r="G18" s="5">
        <v>1000</v>
      </c>
      <c r="H18" s="5"/>
      <c r="I18" s="5"/>
      <c r="J18" s="5">
        <f t="shared" si="1"/>
        <v>60266</v>
      </c>
      <c r="K18" s="5" t="str">
        <f t="shared" si="0"/>
        <v>مقبول</v>
      </c>
      <c r="L18" s="5"/>
      <c r="M18" s="5"/>
      <c r="N18" s="5"/>
    </row>
    <row r="19" spans="1:14" x14ac:dyDescent="0.35">
      <c r="A19" s="5">
        <v>77</v>
      </c>
      <c r="B19" s="9">
        <v>46251</v>
      </c>
      <c r="C19" s="5"/>
      <c r="D19" s="5"/>
      <c r="E19" s="5" t="s">
        <v>99</v>
      </c>
      <c r="F19" s="5"/>
      <c r="G19" s="5">
        <v>1000</v>
      </c>
      <c r="H19" s="5"/>
      <c r="I19" s="5"/>
      <c r="J19" s="5">
        <f t="shared" si="1"/>
        <v>59266</v>
      </c>
      <c r="K19" s="5" t="str">
        <f t="shared" si="0"/>
        <v>مقبول</v>
      </c>
      <c r="M19" s="5"/>
      <c r="N19" s="5"/>
    </row>
    <row r="20" spans="1:14" x14ac:dyDescent="0.35">
      <c r="A20" s="5">
        <v>78</v>
      </c>
      <c r="B20" s="9">
        <v>46251</v>
      </c>
      <c r="C20" s="5"/>
      <c r="D20" s="5"/>
      <c r="E20" s="5" t="s">
        <v>100</v>
      </c>
      <c r="F20" s="5"/>
      <c r="G20" s="5">
        <v>100</v>
      </c>
      <c r="H20" s="5"/>
      <c r="I20" s="5"/>
      <c r="J20" s="5">
        <f t="shared" si="1"/>
        <v>59166</v>
      </c>
      <c r="K20" s="5" t="str">
        <f t="shared" si="0"/>
        <v>مقبول</v>
      </c>
      <c r="L20" s="5"/>
      <c r="M20" s="5"/>
      <c r="N20" s="5"/>
    </row>
    <row r="21" spans="1:14" x14ac:dyDescent="0.35">
      <c r="A21" s="5">
        <v>79</v>
      </c>
      <c r="B21" s="9">
        <v>46251</v>
      </c>
      <c r="C21" s="5"/>
      <c r="D21" s="5"/>
      <c r="E21" s="5" t="s">
        <v>101</v>
      </c>
      <c r="F21" s="5"/>
      <c r="G21" s="5">
        <v>300</v>
      </c>
      <c r="H21" s="5"/>
      <c r="I21" s="5"/>
      <c r="J21" s="5">
        <f t="shared" si="1"/>
        <v>58866</v>
      </c>
      <c r="K21" s="5" t="str">
        <f t="shared" si="0"/>
        <v>مقبول</v>
      </c>
      <c r="L21" s="5"/>
      <c r="M21" s="5"/>
      <c r="N21" s="5"/>
    </row>
    <row r="22" spans="1:14" x14ac:dyDescent="0.35">
      <c r="A22" s="5">
        <v>80</v>
      </c>
      <c r="B22" s="9">
        <v>46251</v>
      </c>
      <c r="C22" s="5"/>
      <c r="D22" s="5"/>
      <c r="E22" s="5" t="s">
        <v>102</v>
      </c>
      <c r="F22" s="5"/>
      <c r="G22" s="5">
        <v>500</v>
      </c>
      <c r="H22" s="5"/>
      <c r="I22" s="5"/>
      <c r="J22" s="5">
        <f t="shared" si="1"/>
        <v>58366</v>
      </c>
      <c r="K22" s="5" t="str">
        <f t="shared" si="0"/>
        <v>مقبول</v>
      </c>
      <c r="L22" s="5"/>
      <c r="M22" s="5"/>
      <c r="N22" s="5"/>
    </row>
    <row r="23" spans="1:14" x14ac:dyDescent="0.35">
      <c r="A23" s="5">
        <v>81</v>
      </c>
      <c r="B23" s="9">
        <v>46252</v>
      </c>
      <c r="C23" s="5"/>
      <c r="D23" s="5"/>
      <c r="E23" s="5" t="s">
        <v>103</v>
      </c>
      <c r="F23" s="5"/>
      <c r="G23" s="5"/>
      <c r="H23" s="5">
        <v>20000</v>
      </c>
      <c r="I23" s="5"/>
      <c r="J23" s="5">
        <f t="shared" si="1"/>
        <v>78366</v>
      </c>
      <c r="K23" s="5" t="str">
        <f t="shared" si="0"/>
        <v>مقبول</v>
      </c>
      <c r="L23" s="5" t="s">
        <v>104</v>
      </c>
      <c r="M23" s="5"/>
      <c r="N23" s="5"/>
    </row>
    <row r="24" spans="1:14" x14ac:dyDescent="0.35">
      <c r="A24" s="5">
        <v>82</v>
      </c>
      <c r="B24" s="9">
        <v>46252</v>
      </c>
      <c r="C24" s="5"/>
      <c r="D24" s="5"/>
      <c r="E24" s="5" t="s">
        <v>105</v>
      </c>
      <c r="F24" s="5"/>
      <c r="G24" s="5">
        <v>1900</v>
      </c>
      <c r="H24" s="5"/>
      <c r="I24" s="5"/>
      <c r="J24" s="5">
        <f t="shared" si="1"/>
        <v>76466</v>
      </c>
      <c r="K24" s="5" t="str">
        <f t="shared" si="0"/>
        <v>مقبول</v>
      </c>
      <c r="L24" s="5"/>
      <c r="M24" s="5"/>
      <c r="N24" s="5"/>
    </row>
    <row r="25" spans="1:14" x14ac:dyDescent="0.35">
      <c r="A25" s="5">
        <v>83</v>
      </c>
      <c r="B25" s="9">
        <v>46252</v>
      </c>
      <c r="C25" s="5"/>
      <c r="D25" s="5"/>
      <c r="E25" s="5" t="s">
        <v>106</v>
      </c>
      <c r="F25" s="5"/>
      <c r="G25" s="5">
        <v>100</v>
      </c>
      <c r="H25" s="5"/>
      <c r="I25" s="5"/>
      <c r="J25" s="5">
        <f t="shared" si="1"/>
        <v>76366</v>
      </c>
      <c r="K25" s="5" t="str">
        <f t="shared" si="0"/>
        <v>مقبول</v>
      </c>
      <c r="L25" s="5"/>
      <c r="M25" s="5"/>
      <c r="N25" s="5"/>
    </row>
    <row r="26" spans="1:14" x14ac:dyDescent="0.35">
      <c r="A26" s="5">
        <v>84</v>
      </c>
      <c r="B26" s="9">
        <v>46252</v>
      </c>
      <c r="C26" s="5"/>
      <c r="D26" s="5"/>
      <c r="E26" s="5" t="s">
        <v>107</v>
      </c>
      <c r="F26" s="5"/>
      <c r="G26" s="5">
        <v>1100</v>
      </c>
      <c r="H26" s="5"/>
      <c r="I26" s="5"/>
      <c r="J26" s="5">
        <f t="shared" si="1"/>
        <v>75266</v>
      </c>
      <c r="K26" s="5" t="str">
        <f t="shared" si="0"/>
        <v>مقبول</v>
      </c>
      <c r="L26" s="5"/>
      <c r="M26" s="5"/>
      <c r="N26" s="5"/>
    </row>
    <row r="27" spans="1:14" x14ac:dyDescent="0.35">
      <c r="A27" s="5">
        <v>85</v>
      </c>
      <c r="B27" s="9">
        <v>46252</v>
      </c>
      <c r="C27" s="5"/>
      <c r="D27" s="5"/>
      <c r="E27" s="5" t="s">
        <v>108</v>
      </c>
      <c r="F27" s="5"/>
      <c r="G27" s="5">
        <v>9300</v>
      </c>
      <c r="H27" s="5"/>
      <c r="I27" s="5"/>
      <c r="J27" s="5">
        <f t="shared" si="1"/>
        <v>65966</v>
      </c>
      <c r="K27" s="5" t="str">
        <f t="shared" si="0"/>
        <v>مقبول</v>
      </c>
      <c r="L27" s="5"/>
      <c r="M27" s="5"/>
      <c r="N27" s="5"/>
    </row>
    <row r="28" spans="1:14" x14ac:dyDescent="0.35">
      <c r="A28" s="5">
        <v>86</v>
      </c>
      <c r="B28" s="9">
        <v>46252</v>
      </c>
      <c r="C28" s="5"/>
      <c r="D28" s="5"/>
      <c r="E28" s="5" t="s">
        <v>109</v>
      </c>
      <c r="F28" s="5"/>
      <c r="G28" s="5">
        <v>400</v>
      </c>
      <c r="H28" s="5"/>
      <c r="I28" s="5"/>
      <c r="J28" s="5">
        <f t="shared" si="1"/>
        <v>65566</v>
      </c>
      <c r="K28" s="5" t="str">
        <f t="shared" si="0"/>
        <v>مقبول</v>
      </c>
      <c r="L28" s="5" t="s">
        <v>110</v>
      </c>
      <c r="M28" s="5"/>
      <c r="N28" s="5"/>
    </row>
    <row r="29" spans="1:14" x14ac:dyDescent="0.35">
      <c r="A29" s="5">
        <v>87</v>
      </c>
      <c r="B29" s="9">
        <v>46252</v>
      </c>
      <c r="C29" s="5"/>
      <c r="D29" s="5"/>
      <c r="E29" s="5" t="s">
        <v>111</v>
      </c>
      <c r="F29" s="5"/>
      <c r="G29" s="5">
        <v>665</v>
      </c>
      <c r="H29" s="5"/>
      <c r="I29" s="5"/>
      <c r="J29" s="5">
        <f t="shared" si="1"/>
        <v>64901</v>
      </c>
      <c r="K29" s="5" t="str">
        <f t="shared" si="0"/>
        <v>مقبول</v>
      </c>
      <c r="L29" s="5"/>
      <c r="M29" s="5"/>
      <c r="N29" s="5"/>
    </row>
    <row r="30" spans="1:14" x14ac:dyDescent="0.35">
      <c r="A30" s="5">
        <v>88</v>
      </c>
      <c r="B30" s="9">
        <v>46252</v>
      </c>
      <c r="C30" s="5"/>
      <c r="D30" s="5"/>
      <c r="E30" s="5" t="s">
        <v>112</v>
      </c>
      <c r="F30" s="5"/>
      <c r="G30" s="5">
        <v>900</v>
      </c>
      <c r="H30" s="5"/>
      <c r="I30" s="5"/>
      <c r="J30" s="5">
        <f t="shared" si="1"/>
        <v>64001</v>
      </c>
      <c r="K30" s="5" t="str">
        <f t="shared" si="0"/>
        <v>مقبول</v>
      </c>
      <c r="L30" s="5"/>
      <c r="M30" s="5"/>
      <c r="N30" s="5"/>
    </row>
    <row r="31" spans="1:14" x14ac:dyDescent="0.35">
      <c r="A31" s="5">
        <v>89</v>
      </c>
      <c r="B31" s="9">
        <v>46253</v>
      </c>
      <c r="C31" s="5"/>
      <c r="D31" s="5"/>
      <c r="E31" s="5" t="s">
        <v>113</v>
      </c>
      <c r="F31" s="5"/>
      <c r="G31" s="5">
        <v>200</v>
      </c>
      <c r="H31" s="5"/>
      <c r="I31" s="5"/>
      <c r="J31" s="5">
        <f t="shared" si="1"/>
        <v>63801</v>
      </c>
      <c r="K31" s="5" t="str">
        <f t="shared" si="0"/>
        <v>مقبول</v>
      </c>
      <c r="L31" s="5"/>
      <c r="M31" s="5"/>
      <c r="N31" s="5"/>
    </row>
    <row r="32" spans="1:14" x14ac:dyDescent="0.35">
      <c r="A32" s="5">
        <v>90</v>
      </c>
      <c r="B32" s="9">
        <v>46253</v>
      </c>
      <c r="C32" s="5"/>
      <c r="D32" s="5"/>
      <c r="E32" s="5" t="s">
        <v>114</v>
      </c>
      <c r="F32" s="5"/>
      <c r="G32" s="5"/>
      <c r="H32" s="5">
        <v>9300</v>
      </c>
      <c r="I32" s="5"/>
      <c r="J32" s="5">
        <f t="shared" si="1"/>
        <v>73101</v>
      </c>
      <c r="K32" s="5" t="str">
        <f t="shared" si="0"/>
        <v>مقبول</v>
      </c>
      <c r="L32" s="5" t="s">
        <v>104</v>
      </c>
      <c r="M32" s="5"/>
      <c r="N32" s="5"/>
    </row>
    <row r="33" spans="1:14" x14ac:dyDescent="0.35">
      <c r="A33" s="5">
        <v>91</v>
      </c>
      <c r="B33" s="9">
        <v>46253</v>
      </c>
      <c r="C33" s="5"/>
      <c r="D33" s="5"/>
      <c r="E33" s="5" t="s">
        <v>115</v>
      </c>
      <c r="F33" s="5"/>
      <c r="G33" s="5">
        <v>260</v>
      </c>
      <c r="H33" s="5"/>
      <c r="I33" s="5"/>
      <c r="J33" s="5">
        <f t="shared" si="1"/>
        <v>72841</v>
      </c>
      <c r="K33" s="5" t="str">
        <f t="shared" si="0"/>
        <v>مقبول</v>
      </c>
      <c r="L33" s="5"/>
      <c r="M33" s="5"/>
      <c r="N33" s="5"/>
    </row>
    <row r="34" spans="1:14" x14ac:dyDescent="0.35">
      <c r="A34" s="5">
        <v>92</v>
      </c>
      <c r="B34" s="9">
        <v>46253</v>
      </c>
      <c r="C34" s="5"/>
      <c r="D34" s="5"/>
      <c r="E34" s="5" t="s">
        <v>116</v>
      </c>
      <c r="F34" s="5"/>
      <c r="G34" s="5">
        <v>200</v>
      </c>
      <c r="H34" s="5"/>
      <c r="I34" s="5"/>
      <c r="J34" s="5">
        <f t="shared" si="1"/>
        <v>72641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287199</v>
      </c>
      <c r="H35" s="6">
        <f>SUM(H4:H34)</f>
        <v>359840</v>
      </c>
      <c r="I35" s="6"/>
      <c r="J35" s="6"/>
      <c r="K35" s="6"/>
      <c r="L35" s="6"/>
      <c r="M35" s="6"/>
      <c r="N35" s="6"/>
    </row>
    <row r="37" spans="1:14" x14ac:dyDescent="0.35">
      <c r="H37">
        <f>55000+6830</f>
        <v>61830</v>
      </c>
    </row>
    <row r="38" spans="1:14" x14ac:dyDescent="0.35">
      <c r="H38">
        <f>J34-H37</f>
        <v>10811</v>
      </c>
    </row>
  </sheetData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1CF39-8DC9-42AF-B7E0-53DD3728516E}">
  <dimension ref="A1:N39"/>
  <sheetViews>
    <sheetView rightToLeft="1" tabSelected="1" topLeftCell="A18" workbookViewId="0">
      <selection activeCell="E22" sqref="E22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'1-B Petty Cash'!G35</f>
        <v>287199</v>
      </c>
      <c r="H4" s="12">
        <f>'1-B Petty Cash'!H35</f>
        <v>359840</v>
      </c>
      <c r="I4" s="12"/>
      <c r="J4" s="12">
        <f>C4-G4+H4</f>
        <v>72641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93</v>
      </c>
      <c r="B5" s="9">
        <v>46254</v>
      </c>
      <c r="C5" s="5"/>
      <c r="D5" s="5"/>
      <c r="E5" s="10" t="s">
        <v>117</v>
      </c>
      <c r="F5" s="5"/>
      <c r="G5" s="5">
        <v>315</v>
      </c>
      <c r="H5" s="5"/>
      <c r="I5" s="5"/>
      <c r="J5" s="5">
        <f t="shared" ref="J5:J34" si="1">J4-G5+H5</f>
        <v>72326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94</v>
      </c>
      <c r="B6" s="9">
        <v>46254</v>
      </c>
      <c r="C6" s="5"/>
      <c r="D6" s="5"/>
      <c r="E6" s="5" t="s">
        <v>118</v>
      </c>
      <c r="F6" s="5"/>
      <c r="G6" s="5">
        <v>145</v>
      </c>
      <c r="H6" s="5"/>
      <c r="I6" s="5"/>
      <c r="J6" s="5">
        <f t="shared" si="1"/>
        <v>72181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95</v>
      </c>
      <c r="B7" s="9">
        <v>46254</v>
      </c>
      <c r="C7" s="5"/>
      <c r="D7" s="5"/>
      <c r="E7" s="10" t="s">
        <v>119</v>
      </c>
      <c r="F7" s="5"/>
      <c r="G7" s="5">
        <v>1900</v>
      </c>
      <c r="H7" s="5"/>
      <c r="I7" s="5"/>
      <c r="J7" s="5">
        <f t="shared" si="1"/>
        <v>70281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96</v>
      </c>
      <c r="B8" s="9">
        <v>46254</v>
      </c>
      <c r="C8" s="5"/>
      <c r="D8" s="5"/>
      <c r="E8" s="10" t="s">
        <v>120</v>
      </c>
      <c r="F8" s="5"/>
      <c r="G8" s="5">
        <v>190</v>
      </c>
      <c r="H8" s="5"/>
      <c r="I8" s="5"/>
      <c r="J8" s="5">
        <f t="shared" si="1"/>
        <v>70091</v>
      </c>
      <c r="K8" s="5" t="str">
        <f t="shared" si="0"/>
        <v>مقبول</v>
      </c>
      <c r="L8" s="5"/>
      <c r="M8" s="5"/>
      <c r="N8" s="5"/>
    </row>
    <row r="9" spans="1:14" x14ac:dyDescent="0.35">
      <c r="A9" s="5">
        <v>97</v>
      </c>
      <c r="B9" s="9">
        <v>46254</v>
      </c>
      <c r="C9" s="5"/>
      <c r="D9" s="5"/>
      <c r="E9" s="10" t="s">
        <v>121</v>
      </c>
      <c r="F9" s="5"/>
      <c r="G9" s="5">
        <v>145</v>
      </c>
      <c r="H9" s="5"/>
      <c r="I9" s="5"/>
      <c r="J9" s="5">
        <f t="shared" si="1"/>
        <v>69946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98</v>
      </c>
      <c r="B10" s="9">
        <v>46254</v>
      </c>
      <c r="C10" s="5"/>
      <c r="D10" s="5"/>
      <c r="E10" s="10" t="s">
        <v>122</v>
      </c>
      <c r="F10" s="5"/>
      <c r="G10" s="5">
        <v>2150</v>
      </c>
      <c r="H10" s="5"/>
      <c r="I10" s="5"/>
      <c r="J10" s="5">
        <f t="shared" si="1"/>
        <v>67796</v>
      </c>
      <c r="K10" s="5" t="str">
        <f t="shared" si="0"/>
        <v>مقبول</v>
      </c>
      <c r="L10" s="5"/>
      <c r="M10" s="5"/>
      <c r="N10" s="5"/>
    </row>
    <row r="11" spans="1:14" x14ac:dyDescent="0.35">
      <c r="A11" s="5">
        <v>99</v>
      </c>
      <c r="B11" s="9">
        <v>46255</v>
      </c>
      <c r="C11" s="5"/>
      <c r="D11" s="5"/>
      <c r="E11" s="10" t="s">
        <v>123</v>
      </c>
      <c r="F11" s="5"/>
      <c r="G11" s="5">
        <v>2020</v>
      </c>
      <c r="H11" s="5"/>
      <c r="I11" s="5"/>
      <c r="J11" s="5">
        <f t="shared" si="1"/>
        <v>65776</v>
      </c>
      <c r="K11" s="5" t="str">
        <f t="shared" si="0"/>
        <v>مقبول</v>
      </c>
      <c r="L11" s="5"/>
      <c r="M11" s="5"/>
      <c r="N11" s="5"/>
    </row>
    <row r="12" spans="1:14" x14ac:dyDescent="0.35">
      <c r="A12" s="5">
        <v>100</v>
      </c>
      <c r="B12" s="9">
        <v>46255</v>
      </c>
      <c r="C12" s="5"/>
      <c r="D12" s="5"/>
      <c r="E12" s="10" t="s">
        <v>124</v>
      </c>
      <c r="F12" s="5"/>
      <c r="G12" s="5">
        <v>970</v>
      </c>
      <c r="H12" s="5"/>
      <c r="I12" s="5"/>
      <c r="J12" s="5">
        <f t="shared" si="1"/>
        <v>64806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101</v>
      </c>
      <c r="B13" s="9">
        <v>46255</v>
      </c>
      <c r="C13" s="5"/>
      <c r="D13" s="5"/>
      <c r="E13" s="10" t="s">
        <v>125</v>
      </c>
      <c r="F13" s="5"/>
      <c r="G13" s="5">
        <v>200</v>
      </c>
      <c r="H13" s="5"/>
      <c r="I13" s="5"/>
      <c r="J13" s="5">
        <f t="shared" si="1"/>
        <v>64606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102</v>
      </c>
      <c r="B14" s="9">
        <v>46255</v>
      </c>
      <c r="C14" s="5"/>
      <c r="D14" s="5"/>
      <c r="E14" s="5" t="s">
        <v>126</v>
      </c>
      <c r="F14" s="5"/>
      <c r="G14" s="5">
        <v>50</v>
      </c>
      <c r="H14" s="5"/>
      <c r="I14" s="5"/>
      <c r="J14" s="5">
        <f t="shared" si="1"/>
        <v>64556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103</v>
      </c>
      <c r="B15" s="9">
        <v>46255</v>
      </c>
      <c r="C15" s="5"/>
      <c r="D15" s="5"/>
      <c r="E15" s="5" t="s">
        <v>127</v>
      </c>
      <c r="F15" s="5"/>
      <c r="G15" s="5">
        <v>100</v>
      </c>
      <c r="H15" s="5"/>
      <c r="I15" s="5"/>
      <c r="J15" s="5">
        <f t="shared" si="1"/>
        <v>64456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104</v>
      </c>
      <c r="B16" s="9">
        <v>46255</v>
      </c>
      <c r="C16" s="5"/>
      <c r="D16" s="5"/>
      <c r="E16" s="5" t="s">
        <v>128</v>
      </c>
      <c r="F16" s="5"/>
      <c r="G16" s="5">
        <v>50</v>
      </c>
      <c r="H16" s="5"/>
      <c r="I16" s="5"/>
      <c r="J16" s="5">
        <f t="shared" si="1"/>
        <v>64406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105</v>
      </c>
      <c r="B17" s="9">
        <v>46256</v>
      </c>
      <c r="C17" s="5"/>
      <c r="D17" s="5"/>
      <c r="E17" s="5" t="s">
        <v>129</v>
      </c>
      <c r="F17" s="5"/>
      <c r="G17" s="5"/>
      <c r="H17" s="5">
        <v>2100</v>
      </c>
      <c r="I17" s="5"/>
      <c r="J17" s="5">
        <f t="shared" si="1"/>
        <v>66506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 t="s">
        <v>130</v>
      </c>
      <c r="F18" s="5"/>
      <c r="G18" s="5">
        <v>30000</v>
      </c>
      <c r="H18" s="5"/>
      <c r="I18" s="5"/>
      <c r="J18" s="5">
        <f t="shared" si="1"/>
        <v>36506</v>
      </c>
      <c r="K18" s="5" t="str">
        <f t="shared" si="0"/>
        <v>مقبول</v>
      </c>
      <c r="L18" s="5" t="s">
        <v>131</v>
      </c>
      <c r="M18" s="5"/>
      <c r="N18" s="5"/>
    </row>
    <row r="19" spans="1:14" x14ac:dyDescent="0.35">
      <c r="A19" s="5"/>
      <c r="B19" s="9"/>
      <c r="C19" s="5"/>
      <c r="D19" s="5"/>
      <c r="E19" s="5" t="s">
        <v>132</v>
      </c>
      <c r="F19" s="5"/>
      <c r="G19" s="5">
        <v>2000</v>
      </c>
      <c r="H19" s="5"/>
      <c r="I19" s="5"/>
      <c r="J19" s="5">
        <f t="shared" si="1"/>
        <v>34506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 t="s">
        <v>135</v>
      </c>
      <c r="F20" s="5"/>
      <c r="G20" s="5">
        <v>7250</v>
      </c>
      <c r="H20" s="5"/>
      <c r="I20" s="5"/>
      <c r="J20" s="5">
        <f t="shared" si="1"/>
        <v>27256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 t="s">
        <v>136</v>
      </c>
      <c r="F21" s="5"/>
      <c r="G21" s="5">
        <v>2500</v>
      </c>
      <c r="H21" s="5"/>
      <c r="I21" s="5"/>
      <c r="J21" s="5">
        <f t="shared" si="1"/>
        <v>24756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24756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24756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24756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24756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24756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24756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24756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24756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24756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24756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24756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24756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9"/>
      <c r="C34" s="5"/>
      <c r="D34" s="5"/>
      <c r="E34" s="5"/>
      <c r="F34" s="5"/>
      <c r="G34" s="5"/>
      <c r="H34" s="5"/>
      <c r="I34" s="5"/>
      <c r="J34" s="5">
        <f t="shared" si="1"/>
        <v>24756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337184</v>
      </c>
      <c r="H35" s="6">
        <f>SUM(H4:H34)</f>
        <v>361940</v>
      </c>
      <c r="I35" s="6"/>
      <c r="J35" s="6"/>
      <c r="K35" s="6"/>
      <c r="L35" s="6"/>
      <c r="M35" s="6"/>
      <c r="N35" s="6"/>
    </row>
    <row r="37" spans="1:14" x14ac:dyDescent="0.35">
      <c r="G37">
        <f>25000+150+145</f>
        <v>25295</v>
      </c>
    </row>
    <row r="38" spans="1:14" x14ac:dyDescent="0.35">
      <c r="G38">
        <f>J34-G37</f>
        <v>-539</v>
      </c>
    </row>
    <row r="39" spans="1:14" x14ac:dyDescent="0.35">
      <c r="G39">
        <f>10914-G38</f>
        <v>11453</v>
      </c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1-A Petty Cash</vt:lpstr>
      <vt:lpstr>Sheet1</vt:lpstr>
      <vt:lpstr>1-B Petty Cash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2026-08-23T09:02:07Z</dcterms:modified>
</cp:coreProperties>
</file>