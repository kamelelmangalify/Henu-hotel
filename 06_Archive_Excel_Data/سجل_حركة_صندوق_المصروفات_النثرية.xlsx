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nu\"/>
    </mc:Choice>
  </mc:AlternateContent>
  <xr:revisionPtr revIDLastSave="0" documentId="13_ncr:1_{F25412F5-10D9-435C-8E7A-6DC9537D42CA}" xr6:coauthVersionLast="47" xr6:coauthVersionMax="47" xr10:uidLastSave="{00000000-0000-0000-0000-000000000000}"/>
  <bookViews>
    <workbookView xWindow="-110" yWindow="-110" windowWidth="19420" windowHeight="10300" xr2:uid="{B3249B00-A14B-4484-9177-C0A03E3FFFA3}"/>
  </bookViews>
  <sheets>
    <sheet name="1-A Petty Cas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5" i="1" l="1"/>
  <c r="G35" i="1"/>
  <c r="J4" i="1"/>
  <c r="K4" i="1" s="1"/>
  <c r="J5" i="1" l="1"/>
  <c r="J6" i="1" l="1"/>
  <c r="K5" i="1"/>
  <c r="J7" i="1" l="1"/>
  <c r="K6" i="1"/>
  <c r="J8" i="1" l="1"/>
  <c r="K7" i="1"/>
  <c r="J9" i="1" l="1"/>
  <c r="K8" i="1"/>
  <c r="J10" i="1" l="1"/>
  <c r="J11" i="1" s="1"/>
  <c r="K11" i="1" s="1"/>
  <c r="K9" i="1"/>
  <c r="K10" i="1" l="1"/>
  <c r="J12" i="1" l="1"/>
  <c r="J13" i="1" l="1"/>
  <c r="K12" i="1"/>
  <c r="J14" i="1" l="1"/>
  <c r="K13" i="1"/>
  <c r="J15" i="1" l="1"/>
  <c r="K14" i="1"/>
  <c r="J16" i="1" l="1"/>
  <c r="K15" i="1"/>
  <c r="J17" i="1" l="1"/>
  <c r="K16" i="1"/>
  <c r="J18" i="1" l="1"/>
  <c r="K17" i="1"/>
  <c r="J19" i="1" l="1"/>
  <c r="K18" i="1"/>
  <c r="J20" i="1" l="1"/>
  <c r="K19" i="1"/>
  <c r="J21" i="1" l="1"/>
  <c r="K20" i="1"/>
  <c r="J22" i="1" l="1"/>
  <c r="K21" i="1"/>
  <c r="J23" i="1" l="1"/>
  <c r="K22" i="1"/>
  <c r="J24" i="1" l="1"/>
  <c r="K23" i="1"/>
  <c r="J25" i="1" l="1"/>
  <c r="K24" i="1"/>
  <c r="J26" i="1" l="1"/>
  <c r="K25" i="1"/>
  <c r="J27" i="1" l="1"/>
  <c r="K26" i="1"/>
  <c r="J28" i="1" l="1"/>
  <c r="K27" i="1"/>
  <c r="J29" i="1" l="1"/>
  <c r="K28" i="1"/>
  <c r="J30" i="1" l="1"/>
  <c r="K29" i="1"/>
  <c r="J31" i="1" l="1"/>
  <c r="K30" i="1"/>
  <c r="J32" i="1" l="1"/>
  <c r="K31" i="1"/>
  <c r="J33" i="1" l="1"/>
  <c r="K32" i="1"/>
  <c r="K33" i="1" l="1"/>
  <c r="J34" i="1"/>
  <c r="K34" i="1" s="1"/>
</calcChain>
</file>

<file path=xl/sharedStrings.xml><?xml version="1.0" encoding="utf-8"?>
<sst xmlns="http://schemas.openxmlformats.org/spreadsheetml/2006/main" count="51" uniqueCount="49">
  <si>
    <t>هوستل الأهرامات — سجل حركة صندوق المصروفات النثرية</t>
  </si>
  <si>
    <t>سقف الصندوق (ج):</t>
  </si>
  <si>
    <t>حد الانذار (ج):</t>
  </si>
  <si>
    <t>رقم</t>
  </si>
  <si>
    <t>التاريخ</t>
  </si>
  <si>
    <t>رصيد افتتاحي</t>
  </si>
  <si>
    <t>رقم الاذن</t>
  </si>
  <si>
    <t>البيان</t>
  </si>
  <si>
    <t>الجهة المستلمة</t>
  </si>
  <si>
    <t>مصروف (ج)</t>
  </si>
  <si>
    <t>إيراد (ج)</t>
  </si>
  <si>
    <t>رقم الفاتورة</t>
  </si>
  <si>
    <t>رصيد متبقي</t>
  </si>
  <si>
    <t>تنبيه</t>
  </si>
  <si>
    <t>ملاحظات</t>
  </si>
  <si>
    <t>توقيع الصراف</t>
  </si>
  <si>
    <t>توقيع المراجع</t>
  </si>
  <si>
    <t>الاجمالي</t>
  </si>
  <si>
    <t>تحويل انستاباي</t>
  </si>
  <si>
    <t>توصيل قماش ظهر السراير</t>
  </si>
  <si>
    <t>باقي راتب يوسف</t>
  </si>
  <si>
    <t xml:space="preserve">سلفة ل احمد البار من مرتب شهر </t>
  </si>
  <si>
    <t>دفعة للفنانة اكل</t>
  </si>
  <si>
    <t>ايراد مغسلة</t>
  </si>
  <si>
    <t>مشترك بسلك</t>
  </si>
  <si>
    <t>كارت شحن يوسف</t>
  </si>
  <si>
    <t>مندوب الوصيل</t>
  </si>
  <si>
    <t>شحن وغسيل تكييف الاستقبال</t>
  </si>
  <si>
    <t>تحويل بنكي من أ محمد مرسي</t>
  </si>
  <si>
    <t>بطاريات للخزينة</t>
  </si>
  <si>
    <t xml:space="preserve">دبل فيس </t>
  </si>
  <si>
    <t>بن ضيافة</t>
  </si>
  <si>
    <t>مفك + زرادية</t>
  </si>
  <si>
    <t>مشترك بسلك ثلاثي</t>
  </si>
  <si>
    <t>دفعة من حساب علاء الكهربائي</t>
  </si>
  <si>
    <t>باقي 2000 جنيه</t>
  </si>
  <si>
    <t>شراء كشكول سلك</t>
  </si>
  <si>
    <t>دفعة من حساب احمد الكاميرات</t>
  </si>
  <si>
    <t>سلفة من الراتب للموظف يوسف</t>
  </si>
  <si>
    <t>ايجار غرفة 401 بسعر 1000 لليلة لمدة 8 ليالي</t>
  </si>
  <si>
    <t xml:space="preserve">دفعة مقدمة من المفروشات لشركة كوين </t>
  </si>
  <si>
    <t>عمولة تسكين الغرفة 401</t>
  </si>
  <si>
    <t xml:space="preserve">ادوات مكتبية </t>
  </si>
  <si>
    <t>غرفة 402 ليلة واحدة</t>
  </si>
  <si>
    <t xml:space="preserve">غرفة 406 ليلتين </t>
  </si>
  <si>
    <t>افطار الغرف 5 عملاء *40 جنيه</t>
  </si>
  <si>
    <t>مكافأة مبيت في الفندق للموظف يوسف</t>
  </si>
  <si>
    <t xml:space="preserve">عمولة تسكين غرفة 406 </t>
  </si>
  <si>
    <t xml:space="preserve">سبلايز للغرف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</si>
</sst>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3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3" fillId="3" borderId="0" xfId="0" applyFont="1" applyFill="1"/>
    <xf numFmtId="14" fontId="3" fillId="0" borderId="1" xfId="0" applyNumberFormat="1" applyFont="1" applyBorder="1"/>
    <xf numFmtId="14" fontId="0" fillId="0" borderId="1" xfId="0" applyNumberFormat="1" applyBorder="1"/>
    <xf numFmtId="0" fontId="0" fillId="0" borderId="1" xfId="0" applyBorder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146B567-8F53-4B58-9309-C7B644133E00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E82C3-B9D5-40E2-BA55-54EEAEFF6A9C}">
  <dimension ref="A1:N36"/>
  <sheetViews>
    <sheetView rightToLeft="1" tabSelected="1" topLeftCell="A25" workbookViewId="0">
      <selection activeCell="E4" sqref="E4:E34"/>
    </sheetView>
  </sheetViews>
  <sheetFormatPr defaultRowHeight="14.5" x14ac:dyDescent="0.35"/>
  <cols>
    <col min="1" max="1" width="8.6328125" customWidth="1"/>
    <col min="2" max="2" width="12.6328125" customWidth="1"/>
    <col min="3" max="3" width="14.6328125" customWidth="1"/>
    <col min="4" max="4" width="16.6328125" customWidth="1"/>
    <col min="5" max="5" width="32.54296875" bestFit="1" customWidth="1"/>
    <col min="6" max="6" width="18.6328125" customWidth="1"/>
    <col min="7" max="10" width="14.6328125" customWidth="1"/>
    <col min="11" max="12" width="18.6328125" customWidth="1"/>
    <col min="13" max="14" width="16.6328125" customWidth="1"/>
  </cols>
  <sheetData>
    <row r="1" spans="1:14" ht="38" customHeight="1" x14ac:dyDescent="0.3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x14ac:dyDescent="0.35">
      <c r="A2" s="2" t="s">
        <v>1</v>
      </c>
      <c r="B2" s="3"/>
      <c r="C2" s="2" t="s">
        <v>2</v>
      </c>
      <c r="D2" s="7">
        <v>5000</v>
      </c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s="1" customFormat="1" ht="30" customHeight="1" x14ac:dyDescent="0.3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</row>
    <row r="4" spans="1:14" x14ac:dyDescent="0.35">
      <c r="A4" s="5">
        <v>1</v>
      </c>
      <c r="B4" s="8">
        <v>46238</v>
      </c>
      <c r="C4" s="5">
        <v>0</v>
      </c>
      <c r="D4" s="5"/>
      <c r="E4" s="10" t="s">
        <v>18</v>
      </c>
      <c r="F4" s="5"/>
      <c r="G4" s="5"/>
      <c r="H4" s="5">
        <v>5000</v>
      </c>
      <c r="I4" s="5"/>
      <c r="J4" s="5">
        <f>C4-G4+H4</f>
        <v>5000</v>
      </c>
      <c r="K4" s="5" t="str">
        <f>IF(J4&lt;200,"تنبيه: اعد التعبئة","مقبول")</f>
        <v>مقبول</v>
      </c>
      <c r="L4" s="5"/>
      <c r="M4" s="5"/>
      <c r="N4" s="5"/>
    </row>
    <row r="5" spans="1:14" x14ac:dyDescent="0.35">
      <c r="A5" s="5">
        <v>2</v>
      </c>
      <c r="B5" s="9">
        <v>46238</v>
      </c>
      <c r="C5" s="5"/>
      <c r="D5" s="5"/>
      <c r="E5" s="10" t="s">
        <v>19</v>
      </c>
      <c r="F5" s="5" t="s">
        <v>26</v>
      </c>
      <c r="G5" s="5">
        <v>175</v>
      </c>
      <c r="H5" s="5"/>
      <c r="I5" s="5"/>
      <c r="J5" s="5">
        <f t="shared" ref="J5:J34" si="0">J4-G5+H5</f>
        <v>4825</v>
      </c>
      <c r="K5" s="5" t="str">
        <f t="shared" ref="K5:K34" si="1">IF(J5&lt;200,"تنبيه: اعد التعبئة","مقبول")</f>
        <v>مقبول</v>
      </c>
      <c r="L5" s="5"/>
      <c r="M5" s="5"/>
      <c r="N5" s="5"/>
    </row>
    <row r="6" spans="1:14" x14ac:dyDescent="0.35">
      <c r="A6" s="5">
        <v>3</v>
      </c>
      <c r="B6" s="9">
        <v>46238</v>
      </c>
      <c r="C6" s="5"/>
      <c r="D6" s="5"/>
      <c r="E6" s="10" t="s">
        <v>18</v>
      </c>
      <c r="F6" s="5"/>
      <c r="G6" s="5"/>
      <c r="H6" s="5">
        <v>5000</v>
      </c>
      <c r="I6" s="5"/>
      <c r="J6" s="5">
        <f t="shared" si="0"/>
        <v>9825</v>
      </c>
      <c r="K6" s="5" t="str">
        <f t="shared" si="1"/>
        <v>مقبول</v>
      </c>
      <c r="L6" s="5"/>
      <c r="M6" s="5"/>
      <c r="N6" s="5"/>
    </row>
    <row r="7" spans="1:14" x14ac:dyDescent="0.35">
      <c r="A7" s="5">
        <v>4</v>
      </c>
      <c r="B7" s="9">
        <v>46238</v>
      </c>
      <c r="C7" s="5"/>
      <c r="D7" s="5"/>
      <c r="E7" s="10" t="s">
        <v>18</v>
      </c>
      <c r="F7" s="5"/>
      <c r="G7" s="5"/>
      <c r="H7" s="5">
        <v>5000</v>
      </c>
      <c r="I7" s="5"/>
      <c r="J7" s="5">
        <f t="shared" si="0"/>
        <v>14825</v>
      </c>
      <c r="K7" s="5" t="str">
        <f t="shared" si="1"/>
        <v>مقبول</v>
      </c>
      <c r="L7" s="5"/>
      <c r="M7" s="5"/>
      <c r="N7" s="5"/>
    </row>
    <row r="8" spans="1:14" x14ac:dyDescent="0.35">
      <c r="A8" s="5">
        <v>5</v>
      </c>
      <c r="B8" s="9">
        <v>46238</v>
      </c>
      <c r="C8" s="5"/>
      <c r="D8" s="5"/>
      <c r="E8" s="10" t="s">
        <v>20</v>
      </c>
      <c r="F8" s="5"/>
      <c r="G8" s="5">
        <v>4500</v>
      </c>
      <c r="H8" s="5"/>
      <c r="I8" s="5"/>
      <c r="J8" s="5">
        <f t="shared" si="0"/>
        <v>10325</v>
      </c>
      <c r="K8" s="5" t="str">
        <f t="shared" si="1"/>
        <v>مقبول</v>
      </c>
      <c r="L8" s="5"/>
      <c r="M8" s="5"/>
      <c r="N8" s="5"/>
    </row>
    <row r="9" spans="1:14" x14ac:dyDescent="0.35">
      <c r="A9" s="5">
        <v>6</v>
      </c>
      <c r="B9" s="9">
        <v>46238</v>
      </c>
      <c r="C9" s="5"/>
      <c r="D9" s="5"/>
      <c r="E9" s="10" t="s">
        <v>21</v>
      </c>
      <c r="F9" s="5"/>
      <c r="G9" s="5">
        <v>2500</v>
      </c>
      <c r="H9" s="5"/>
      <c r="I9" s="5"/>
      <c r="J9" s="5">
        <f t="shared" si="0"/>
        <v>7825</v>
      </c>
      <c r="K9" s="5" t="str">
        <f t="shared" si="1"/>
        <v>مقبول</v>
      </c>
      <c r="L9" s="5"/>
      <c r="M9" s="5"/>
      <c r="N9" s="5"/>
    </row>
    <row r="10" spans="1:14" x14ac:dyDescent="0.35">
      <c r="A10" s="5">
        <v>7</v>
      </c>
      <c r="B10" s="9">
        <v>46238</v>
      </c>
      <c r="C10" s="5"/>
      <c r="D10" s="5"/>
      <c r="E10" s="10" t="s">
        <v>22</v>
      </c>
      <c r="F10" s="5"/>
      <c r="G10" s="5">
        <v>5000</v>
      </c>
      <c r="H10" s="5"/>
      <c r="I10" s="5"/>
      <c r="J10" s="5">
        <f t="shared" si="0"/>
        <v>2825</v>
      </c>
      <c r="K10" s="5" t="str">
        <f t="shared" si="1"/>
        <v>مقبول</v>
      </c>
      <c r="L10" s="5"/>
      <c r="M10" s="5"/>
      <c r="N10" s="5"/>
    </row>
    <row r="11" spans="1:14" x14ac:dyDescent="0.35">
      <c r="A11" s="5">
        <v>8</v>
      </c>
      <c r="B11" s="9">
        <v>46239</v>
      </c>
      <c r="C11" s="5"/>
      <c r="D11" s="5"/>
      <c r="E11" s="10" t="s">
        <v>23</v>
      </c>
      <c r="F11" s="5"/>
      <c r="G11" s="5"/>
      <c r="H11" s="5">
        <v>120</v>
      </c>
      <c r="I11" s="5"/>
      <c r="J11" s="5">
        <f t="shared" si="0"/>
        <v>2945</v>
      </c>
      <c r="K11" s="5" t="str">
        <f t="shared" si="1"/>
        <v>مقبول</v>
      </c>
      <c r="L11" s="5"/>
      <c r="M11" s="5"/>
      <c r="N11" s="5"/>
    </row>
    <row r="12" spans="1:14" x14ac:dyDescent="0.35">
      <c r="A12" s="5">
        <v>9</v>
      </c>
      <c r="B12" s="9">
        <v>46239</v>
      </c>
      <c r="C12" s="5"/>
      <c r="D12" s="5"/>
      <c r="E12" s="10" t="s">
        <v>33</v>
      </c>
      <c r="F12" s="5"/>
      <c r="G12" s="5">
        <v>260</v>
      </c>
      <c r="H12" s="5"/>
      <c r="I12" s="5"/>
      <c r="J12" s="5">
        <f>J11-G12+H12</f>
        <v>2685</v>
      </c>
      <c r="K12" s="5" t="str">
        <f t="shared" si="1"/>
        <v>مقبول</v>
      </c>
      <c r="L12" s="5"/>
      <c r="M12" s="5"/>
      <c r="N12" s="5"/>
    </row>
    <row r="13" spans="1:14" x14ac:dyDescent="0.35">
      <c r="A13" s="5">
        <v>10</v>
      </c>
      <c r="B13" s="9">
        <v>46239</v>
      </c>
      <c r="C13" s="5"/>
      <c r="D13" s="5"/>
      <c r="E13" s="10" t="s">
        <v>25</v>
      </c>
      <c r="F13" s="5"/>
      <c r="G13" s="5">
        <v>100</v>
      </c>
      <c r="H13" s="5"/>
      <c r="I13" s="5"/>
      <c r="J13" s="5">
        <f t="shared" si="0"/>
        <v>2585</v>
      </c>
      <c r="K13" s="5" t="str">
        <f t="shared" si="1"/>
        <v>مقبول</v>
      </c>
      <c r="L13" s="5"/>
      <c r="M13" s="5"/>
      <c r="N13" s="5"/>
    </row>
    <row r="14" spans="1:14" x14ac:dyDescent="0.35">
      <c r="A14" s="5">
        <v>11</v>
      </c>
      <c r="B14" s="9">
        <v>46239</v>
      </c>
      <c r="C14" s="5"/>
      <c r="D14" s="5"/>
      <c r="E14" s="5" t="s">
        <v>27</v>
      </c>
      <c r="F14" s="5"/>
      <c r="G14" s="5">
        <v>1350</v>
      </c>
      <c r="H14" s="5"/>
      <c r="I14" s="5"/>
      <c r="J14" s="5">
        <f t="shared" si="0"/>
        <v>1235</v>
      </c>
      <c r="K14" s="5" t="str">
        <f t="shared" si="1"/>
        <v>مقبول</v>
      </c>
      <c r="L14" s="5"/>
      <c r="M14" s="5"/>
      <c r="N14" s="5"/>
    </row>
    <row r="15" spans="1:14" x14ac:dyDescent="0.35">
      <c r="A15" s="5">
        <v>12</v>
      </c>
      <c r="B15" s="8">
        <v>46240</v>
      </c>
      <c r="C15" s="5"/>
      <c r="D15" s="5"/>
      <c r="E15" s="5" t="s">
        <v>28</v>
      </c>
      <c r="F15" s="5"/>
      <c r="G15" s="5"/>
      <c r="H15" s="5">
        <v>50000</v>
      </c>
      <c r="I15" s="5"/>
      <c r="J15" s="5">
        <f t="shared" si="0"/>
        <v>51235</v>
      </c>
      <c r="K15" s="5" t="str">
        <f t="shared" si="1"/>
        <v>مقبول</v>
      </c>
      <c r="L15" s="5"/>
      <c r="M15" s="5"/>
      <c r="N15" s="5"/>
    </row>
    <row r="16" spans="1:14" x14ac:dyDescent="0.35">
      <c r="A16" s="5">
        <v>13</v>
      </c>
      <c r="B16" s="8">
        <v>46240</v>
      </c>
      <c r="C16" s="5"/>
      <c r="D16" s="5"/>
      <c r="E16" s="5" t="s">
        <v>29</v>
      </c>
      <c r="F16" s="5"/>
      <c r="G16" s="5">
        <v>60</v>
      </c>
      <c r="H16" s="5"/>
      <c r="I16" s="5"/>
      <c r="J16" s="5">
        <f t="shared" si="0"/>
        <v>51175</v>
      </c>
      <c r="K16" s="5" t="str">
        <f t="shared" si="1"/>
        <v>مقبول</v>
      </c>
      <c r="L16" s="5"/>
      <c r="M16" s="5"/>
      <c r="N16" s="5"/>
    </row>
    <row r="17" spans="1:14" x14ac:dyDescent="0.35">
      <c r="A17" s="5">
        <v>14</v>
      </c>
      <c r="B17" s="8">
        <v>46240</v>
      </c>
      <c r="C17" s="5"/>
      <c r="D17" s="5"/>
      <c r="E17" s="5" t="s">
        <v>30</v>
      </c>
      <c r="F17" s="5"/>
      <c r="G17" s="5">
        <v>165</v>
      </c>
      <c r="H17" s="5"/>
      <c r="I17" s="5"/>
      <c r="J17" s="5">
        <f t="shared" si="0"/>
        <v>51010</v>
      </c>
      <c r="K17" s="5" t="str">
        <f t="shared" si="1"/>
        <v>مقبول</v>
      </c>
      <c r="L17" s="5"/>
      <c r="M17" s="5"/>
      <c r="N17" s="5"/>
    </row>
    <row r="18" spans="1:14" x14ac:dyDescent="0.35">
      <c r="A18" s="5">
        <v>15</v>
      </c>
      <c r="B18" s="8">
        <v>46240</v>
      </c>
      <c r="C18" s="5"/>
      <c r="D18" s="5"/>
      <c r="E18" s="5" t="s">
        <v>31</v>
      </c>
      <c r="F18" s="5"/>
      <c r="G18" s="5">
        <v>250</v>
      </c>
      <c r="H18" s="5"/>
      <c r="I18" s="5"/>
      <c r="J18" s="5">
        <f t="shared" si="0"/>
        <v>50760</v>
      </c>
      <c r="K18" s="5" t="str">
        <f t="shared" si="1"/>
        <v>مقبول</v>
      </c>
      <c r="L18" s="5"/>
      <c r="M18" s="5"/>
      <c r="N18" s="5"/>
    </row>
    <row r="19" spans="1:14" x14ac:dyDescent="0.35">
      <c r="A19" s="5">
        <v>16</v>
      </c>
      <c r="B19" s="8">
        <v>46240</v>
      </c>
      <c r="C19" s="5"/>
      <c r="D19" s="5"/>
      <c r="E19" s="5" t="s">
        <v>32</v>
      </c>
      <c r="F19" s="5"/>
      <c r="G19" s="5">
        <v>140</v>
      </c>
      <c r="H19" s="5"/>
      <c r="I19" s="5"/>
      <c r="J19" s="5">
        <f t="shared" si="0"/>
        <v>50620</v>
      </c>
      <c r="K19" s="5" t="str">
        <f t="shared" si="1"/>
        <v>مقبول</v>
      </c>
      <c r="L19" s="5"/>
      <c r="M19" s="5"/>
      <c r="N19" s="5"/>
    </row>
    <row r="20" spans="1:14" x14ac:dyDescent="0.35">
      <c r="A20" s="5">
        <v>17</v>
      </c>
      <c r="B20" s="8">
        <v>46240</v>
      </c>
      <c r="C20" s="5"/>
      <c r="D20" s="5"/>
      <c r="E20" s="5" t="s">
        <v>24</v>
      </c>
      <c r="F20" s="5"/>
      <c r="G20" s="5">
        <v>240</v>
      </c>
      <c r="H20" s="5"/>
      <c r="I20" s="5"/>
      <c r="J20" s="5">
        <f t="shared" si="0"/>
        <v>50380</v>
      </c>
      <c r="K20" s="5" t="str">
        <f t="shared" si="1"/>
        <v>مقبول</v>
      </c>
      <c r="L20" s="5"/>
      <c r="M20" s="5"/>
      <c r="N20" s="5"/>
    </row>
    <row r="21" spans="1:14" x14ac:dyDescent="0.35">
      <c r="A21" s="5">
        <v>18</v>
      </c>
      <c r="B21" s="8">
        <v>46240</v>
      </c>
      <c r="C21" s="5"/>
      <c r="D21" s="5"/>
      <c r="E21" s="5" t="s">
        <v>34</v>
      </c>
      <c r="F21" s="5"/>
      <c r="G21" s="5">
        <v>1500</v>
      </c>
      <c r="H21" s="5"/>
      <c r="I21" s="5"/>
      <c r="J21" s="5">
        <f t="shared" si="0"/>
        <v>48880</v>
      </c>
      <c r="K21" s="5" t="str">
        <f t="shared" si="1"/>
        <v>مقبول</v>
      </c>
      <c r="L21" s="5" t="s">
        <v>35</v>
      </c>
      <c r="M21" s="5"/>
      <c r="N21" s="5"/>
    </row>
    <row r="22" spans="1:14" x14ac:dyDescent="0.35">
      <c r="A22" s="5">
        <v>19</v>
      </c>
      <c r="B22" s="8">
        <v>46240</v>
      </c>
      <c r="C22" s="5"/>
      <c r="D22" s="5"/>
      <c r="E22" s="5" t="s">
        <v>36</v>
      </c>
      <c r="F22" s="5"/>
      <c r="G22" s="5">
        <v>55</v>
      </c>
      <c r="H22" s="5"/>
      <c r="I22" s="5"/>
      <c r="J22" s="5">
        <f t="shared" si="0"/>
        <v>48825</v>
      </c>
      <c r="K22" s="5" t="str">
        <f t="shared" si="1"/>
        <v>مقبول</v>
      </c>
      <c r="L22" s="5"/>
      <c r="M22" s="5"/>
      <c r="N22" s="5"/>
    </row>
    <row r="23" spans="1:14" x14ac:dyDescent="0.35">
      <c r="A23" s="5">
        <v>20</v>
      </c>
      <c r="B23" s="8">
        <v>46240</v>
      </c>
      <c r="C23" s="5"/>
      <c r="D23" s="5"/>
      <c r="E23" s="5" t="s">
        <v>37</v>
      </c>
      <c r="F23" s="5"/>
      <c r="G23" s="5">
        <v>2500</v>
      </c>
      <c r="H23" s="5"/>
      <c r="I23" s="5"/>
      <c r="J23" s="5">
        <f t="shared" si="0"/>
        <v>46325</v>
      </c>
      <c r="K23" s="5" t="str">
        <f t="shared" si="1"/>
        <v>مقبول</v>
      </c>
      <c r="L23" s="5"/>
      <c r="M23" s="5"/>
      <c r="N23" s="5"/>
    </row>
    <row r="24" spans="1:14" x14ac:dyDescent="0.35">
      <c r="A24" s="5">
        <v>21</v>
      </c>
      <c r="B24" s="8">
        <v>46240</v>
      </c>
      <c r="C24" s="5"/>
      <c r="D24" s="5"/>
      <c r="E24" s="5" t="s">
        <v>46</v>
      </c>
      <c r="F24" s="5"/>
      <c r="G24" s="5">
        <v>300</v>
      </c>
      <c r="H24" s="5"/>
      <c r="I24" s="5"/>
      <c r="J24" s="5">
        <f t="shared" si="0"/>
        <v>46025</v>
      </c>
      <c r="K24" s="5" t="str">
        <f t="shared" si="1"/>
        <v>مقبول</v>
      </c>
      <c r="L24" s="5"/>
      <c r="M24" s="5"/>
      <c r="N24" s="5"/>
    </row>
    <row r="25" spans="1:14" x14ac:dyDescent="0.35">
      <c r="A25" s="5">
        <v>22</v>
      </c>
      <c r="B25" s="8">
        <v>46241</v>
      </c>
      <c r="C25" s="5"/>
      <c r="D25" s="5"/>
      <c r="E25" s="5" t="s">
        <v>38</v>
      </c>
      <c r="F25" s="5"/>
      <c r="G25" s="5">
        <v>200</v>
      </c>
      <c r="H25" s="5"/>
      <c r="I25" s="5"/>
      <c r="J25" s="5">
        <f t="shared" si="0"/>
        <v>45825</v>
      </c>
      <c r="K25" s="5" t="str">
        <f t="shared" si="1"/>
        <v>مقبول</v>
      </c>
      <c r="L25" s="5"/>
      <c r="M25" s="5"/>
      <c r="N25" s="5"/>
    </row>
    <row r="26" spans="1:14" x14ac:dyDescent="0.35">
      <c r="A26" s="5">
        <v>23</v>
      </c>
      <c r="B26" s="8">
        <v>46242</v>
      </c>
      <c r="C26" s="5"/>
      <c r="D26" s="5"/>
      <c r="E26" s="5" t="s">
        <v>39</v>
      </c>
      <c r="F26" s="5"/>
      <c r="G26" s="5"/>
      <c r="H26" s="5">
        <v>8000</v>
      </c>
      <c r="I26" s="5"/>
      <c r="J26" s="5">
        <f t="shared" si="0"/>
        <v>53825</v>
      </c>
      <c r="K26" s="5" t="str">
        <f t="shared" si="1"/>
        <v>مقبول</v>
      </c>
      <c r="L26" s="5"/>
      <c r="M26" s="5"/>
      <c r="N26" s="5"/>
    </row>
    <row r="27" spans="1:14" x14ac:dyDescent="0.35">
      <c r="A27" s="5">
        <v>24</v>
      </c>
      <c r="B27" s="8">
        <v>46242</v>
      </c>
      <c r="C27" s="5"/>
      <c r="D27" s="5"/>
      <c r="E27" s="5" t="s">
        <v>40</v>
      </c>
      <c r="F27" s="5"/>
      <c r="G27" s="5">
        <v>21494</v>
      </c>
      <c r="H27" s="5"/>
      <c r="I27" s="5"/>
      <c r="J27" s="5">
        <f t="shared" si="0"/>
        <v>32331</v>
      </c>
      <c r="K27" s="5" t="str">
        <f t="shared" si="1"/>
        <v>مقبول</v>
      </c>
      <c r="L27" s="5"/>
      <c r="M27" s="5"/>
      <c r="N27" s="5"/>
    </row>
    <row r="28" spans="1:14" x14ac:dyDescent="0.35">
      <c r="A28" s="5">
        <v>25</v>
      </c>
      <c r="B28" s="8">
        <v>46242</v>
      </c>
      <c r="C28" s="5"/>
      <c r="D28" s="5"/>
      <c r="E28" s="5" t="s">
        <v>41</v>
      </c>
      <c r="F28" s="5"/>
      <c r="G28" s="5">
        <v>800</v>
      </c>
      <c r="H28" s="5"/>
      <c r="I28" s="5"/>
      <c r="J28" s="5">
        <f t="shared" si="0"/>
        <v>31531</v>
      </c>
      <c r="K28" s="5" t="str">
        <f t="shared" si="1"/>
        <v>مقبول</v>
      </c>
      <c r="L28" s="5"/>
      <c r="M28" s="5"/>
      <c r="N28" s="5"/>
    </row>
    <row r="29" spans="1:14" x14ac:dyDescent="0.35">
      <c r="A29" s="5">
        <v>26</v>
      </c>
      <c r="B29" s="8">
        <v>46242</v>
      </c>
      <c r="C29" s="5"/>
      <c r="D29" s="5"/>
      <c r="E29" s="5" t="s">
        <v>42</v>
      </c>
      <c r="F29" s="5"/>
      <c r="G29" s="5">
        <v>460</v>
      </c>
      <c r="H29" s="5"/>
      <c r="I29" s="5"/>
      <c r="J29" s="5">
        <f t="shared" si="0"/>
        <v>31071</v>
      </c>
      <c r="K29" s="5" t="str">
        <f t="shared" si="1"/>
        <v>مقبول</v>
      </c>
      <c r="L29" s="5"/>
      <c r="M29" s="5"/>
      <c r="N29" s="5"/>
    </row>
    <row r="30" spans="1:14" x14ac:dyDescent="0.35">
      <c r="A30" s="5">
        <v>27</v>
      </c>
      <c r="B30" s="8">
        <v>46242</v>
      </c>
      <c r="C30" s="5"/>
      <c r="D30" s="5"/>
      <c r="E30" s="5" t="s">
        <v>43</v>
      </c>
      <c r="F30" s="5"/>
      <c r="G30" s="5"/>
      <c r="H30" s="5">
        <v>1300</v>
      </c>
      <c r="I30" s="5"/>
      <c r="J30" s="5">
        <f t="shared" si="0"/>
        <v>32371</v>
      </c>
      <c r="K30" s="5" t="str">
        <f t="shared" si="1"/>
        <v>مقبول</v>
      </c>
      <c r="L30" s="5"/>
      <c r="M30" s="5"/>
      <c r="N30" s="5"/>
    </row>
    <row r="31" spans="1:14" x14ac:dyDescent="0.35">
      <c r="A31" s="5">
        <v>28</v>
      </c>
      <c r="B31" s="8">
        <v>46242</v>
      </c>
      <c r="C31" s="5"/>
      <c r="D31" s="5"/>
      <c r="E31" s="5" t="s">
        <v>44</v>
      </c>
      <c r="F31" s="5"/>
      <c r="G31" s="5"/>
      <c r="H31" s="5">
        <v>2300</v>
      </c>
      <c r="I31" s="5"/>
      <c r="J31" s="5">
        <f t="shared" si="0"/>
        <v>34671</v>
      </c>
      <c r="K31" s="5" t="str">
        <f t="shared" si="1"/>
        <v>مقبول</v>
      </c>
      <c r="L31" s="5"/>
      <c r="M31" s="5"/>
      <c r="N31" s="5"/>
    </row>
    <row r="32" spans="1:14" x14ac:dyDescent="0.35">
      <c r="A32" s="5">
        <v>29</v>
      </c>
      <c r="B32" s="8">
        <v>46242</v>
      </c>
      <c r="C32" s="5"/>
      <c r="D32" s="5"/>
      <c r="E32" s="5" t="s">
        <v>45</v>
      </c>
      <c r="F32" s="5"/>
      <c r="G32" s="5">
        <v>200</v>
      </c>
      <c r="H32" s="5"/>
      <c r="I32" s="5"/>
      <c r="J32" s="5">
        <f t="shared" si="0"/>
        <v>34471</v>
      </c>
      <c r="K32" s="5" t="str">
        <f t="shared" si="1"/>
        <v>مقبول</v>
      </c>
      <c r="L32" s="5"/>
      <c r="M32" s="5"/>
      <c r="N32" s="5"/>
    </row>
    <row r="33" spans="1:14" x14ac:dyDescent="0.35">
      <c r="A33" s="5">
        <v>30</v>
      </c>
      <c r="B33" s="8">
        <v>46242</v>
      </c>
      <c r="C33" s="5"/>
      <c r="D33" s="5"/>
      <c r="E33" s="5" t="s">
        <v>47</v>
      </c>
      <c r="F33" s="5"/>
      <c r="G33" s="5">
        <v>100</v>
      </c>
      <c r="H33" s="5"/>
      <c r="I33" s="5"/>
      <c r="J33" s="5">
        <f t="shared" si="0"/>
        <v>34371</v>
      </c>
      <c r="K33" s="5" t="str">
        <f t="shared" si="1"/>
        <v>مقبول</v>
      </c>
      <c r="L33" s="5"/>
      <c r="M33" s="5"/>
      <c r="N33" s="5"/>
    </row>
    <row r="34" spans="1:14" x14ac:dyDescent="0.35">
      <c r="A34" s="5">
        <v>31</v>
      </c>
      <c r="B34" s="8">
        <v>46242</v>
      </c>
      <c r="C34" s="5"/>
      <c r="D34" s="5"/>
      <c r="E34" s="5" t="s">
        <v>48</v>
      </c>
      <c r="F34" s="5"/>
      <c r="G34" s="5">
        <v>460</v>
      </c>
      <c r="H34" s="5"/>
      <c r="I34" s="5"/>
      <c r="J34" s="5">
        <f t="shared" si="0"/>
        <v>33911</v>
      </c>
      <c r="K34" s="5" t="str">
        <f t="shared" si="1"/>
        <v>مقبول</v>
      </c>
      <c r="L34" s="5"/>
      <c r="M34" s="5"/>
      <c r="N34" s="5"/>
    </row>
    <row r="35" spans="1:14" x14ac:dyDescent="0.35">
      <c r="A35" s="6" t="s">
        <v>17</v>
      </c>
      <c r="B35" s="6"/>
      <c r="C35" s="6"/>
      <c r="D35" s="6"/>
      <c r="E35" s="6"/>
      <c r="F35" s="6"/>
      <c r="G35" s="6">
        <f>SUM(G4:G34)</f>
        <v>42809</v>
      </c>
      <c r="H35" s="6">
        <f>SUM(H4:H34)</f>
        <v>76720</v>
      </c>
      <c r="I35" s="6"/>
      <c r="J35" s="6"/>
      <c r="K35" s="6"/>
      <c r="L35" s="6"/>
      <c r="M35" s="6"/>
      <c r="N35" s="6"/>
    </row>
    <row r="36" spans="1:14" x14ac:dyDescent="0.35">
      <c r="J36" s="13"/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1-A Petty Cash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Kamel Elmangalify</dc:creator>
  <cp:lastModifiedBy>Kamel Elmangalify</cp:lastModifiedBy>
  <dcterms:created xsi:type="dcterms:W3CDTF">2026-08-05T10:07:57Z</dcterms:created>
  <dcterms:modified xsi:type="dcterms:W3CDTF">2026-08-09T12:52:40Z</dcterms:modified>
</cp:coreProperties>
</file>