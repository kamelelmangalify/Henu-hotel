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202300"/>
  <xr:revisionPtr revIDLastSave="0" documentId="11_33B9AEA249F69927D7990A87091FDA5A1C8235F5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1-A Petty Cash" sheetId="1" r:id="rId1"/>
    <sheet name="Sheet1" sheetId="2" r:id="rId2"/>
    <sheet name="1-B Petty Cash" sheetId="3" r:id="rId3"/>
    <sheet name="1-C Petty Cash" sheetId="4" r:id="rId4"/>
    <sheet name="2-A Petty Cash" sheetId="5" r:id="rId5"/>
    <sheet name="2-B Petty Cas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6" l="1"/>
  <c r="K4" i="6" s="1"/>
  <c r="J4" i="5"/>
  <c r="K4" i="5" s="1"/>
  <c r="J4" i="4"/>
  <c r="K4" i="4" s="1"/>
  <c r="H36" i="1"/>
  <c r="H4" i="2" s="1"/>
  <c r="H35" i="2" s="1"/>
  <c r="G36" i="1"/>
  <c r="G4" i="2" s="1"/>
  <c r="J4" i="1"/>
  <c r="J5" i="1" s="1"/>
  <c r="H37" i="3"/>
  <c r="G35" i="2" l="1"/>
  <c r="J4" i="2"/>
  <c r="J6" i="1"/>
  <c r="K5" i="1"/>
  <c r="J5" i="4"/>
  <c r="J5" i="5"/>
  <c r="J5" i="6"/>
  <c r="G4" i="3"/>
  <c r="K4" i="1"/>
  <c r="H4" i="3"/>
  <c r="H35" i="3" s="1"/>
  <c r="K5" i="6" l="1"/>
  <c r="J6" i="6"/>
  <c r="G35" i="3"/>
  <c r="J4" i="3"/>
  <c r="J6" i="5"/>
  <c r="K5" i="5"/>
  <c r="J7" i="1"/>
  <c r="K6" i="1"/>
  <c r="J5" i="2"/>
  <c r="K4" i="2"/>
  <c r="J6" i="4"/>
  <c r="K5" i="4"/>
  <c r="K6" i="4" l="1"/>
  <c r="J7" i="4"/>
  <c r="J5" i="3"/>
  <c r="K4" i="3"/>
  <c r="K6" i="6"/>
  <c r="J7" i="6"/>
  <c r="K5" i="2"/>
  <c r="J6" i="2"/>
  <c r="J8" i="1"/>
  <c r="K7" i="1"/>
  <c r="K6" i="5"/>
  <c r="J7" i="5"/>
  <c r="J8" i="5" l="1"/>
  <c r="K7" i="5"/>
  <c r="K8" i="1"/>
  <c r="J9" i="1"/>
  <c r="K6" i="2"/>
  <c r="J7" i="2"/>
  <c r="J8" i="6"/>
  <c r="K7" i="6"/>
  <c r="J6" i="3"/>
  <c r="K5" i="3"/>
  <c r="J8" i="4"/>
  <c r="K7" i="4"/>
  <c r="J9" i="4" l="1"/>
  <c r="K8" i="4"/>
  <c r="K6" i="3"/>
  <c r="J7" i="3"/>
  <c r="J9" i="6"/>
  <c r="K8" i="6"/>
  <c r="K7" i="2"/>
  <c r="J8" i="2"/>
  <c r="K9" i="1"/>
  <c r="J11" i="1"/>
  <c r="J9" i="5"/>
  <c r="K8" i="5"/>
  <c r="J10" i="4" l="1"/>
  <c r="K9" i="4"/>
  <c r="K8" i="2"/>
  <c r="J9" i="2"/>
  <c r="J10" i="5"/>
  <c r="K9" i="5"/>
  <c r="K9" i="6"/>
  <c r="J10" i="6"/>
  <c r="J12" i="1"/>
  <c r="K11" i="1"/>
  <c r="J8" i="3"/>
  <c r="K7" i="3"/>
  <c r="K12" i="1" l="1"/>
  <c r="J13" i="1"/>
  <c r="K10" i="5"/>
  <c r="J11" i="5"/>
  <c r="J9" i="3"/>
  <c r="K8" i="3"/>
  <c r="K10" i="6"/>
  <c r="J11" i="6"/>
  <c r="J10" i="2"/>
  <c r="K9" i="2"/>
  <c r="K10" i="4"/>
  <c r="J11" i="4"/>
  <c r="K11" i="4" l="1"/>
  <c r="J12" i="4"/>
  <c r="J11" i="2"/>
  <c r="K10" i="2"/>
  <c r="J10" i="3"/>
  <c r="K9" i="3"/>
  <c r="J14" i="1"/>
  <c r="K13" i="1"/>
  <c r="J12" i="6"/>
  <c r="K11" i="6"/>
  <c r="K11" i="5"/>
  <c r="J12" i="5"/>
  <c r="J13" i="4" l="1"/>
  <c r="K12" i="4"/>
  <c r="K12" i="5"/>
  <c r="J13" i="5"/>
  <c r="J13" i="6"/>
  <c r="K12" i="6"/>
  <c r="J15" i="1"/>
  <c r="K14" i="1"/>
  <c r="J11" i="3"/>
  <c r="K10" i="3"/>
  <c r="J12" i="2"/>
  <c r="K11" i="2"/>
  <c r="K12" i="2" l="1"/>
  <c r="J13" i="2"/>
  <c r="K11" i="3"/>
  <c r="J12" i="3"/>
  <c r="J16" i="1"/>
  <c r="K15" i="1"/>
  <c r="J14" i="6"/>
  <c r="K13" i="6"/>
  <c r="J14" i="5"/>
  <c r="K13" i="5"/>
  <c r="J14" i="4"/>
  <c r="K13" i="4"/>
  <c r="J15" i="6" l="1"/>
  <c r="K14" i="6"/>
  <c r="J15" i="4"/>
  <c r="K14" i="4"/>
  <c r="J15" i="5"/>
  <c r="K14" i="5"/>
  <c r="K16" i="1"/>
  <c r="J17" i="1"/>
  <c r="J13" i="3"/>
  <c r="K12" i="3"/>
  <c r="J14" i="2"/>
  <c r="K13" i="2"/>
  <c r="K14" i="2" l="1"/>
  <c r="J15" i="2"/>
  <c r="K17" i="1"/>
  <c r="J18" i="1"/>
  <c r="J14" i="3"/>
  <c r="K13" i="3"/>
  <c r="K15" i="5"/>
  <c r="J16" i="5"/>
  <c r="J16" i="4"/>
  <c r="K15" i="4"/>
  <c r="K15" i="6"/>
  <c r="J16" i="6"/>
  <c r="K16" i="6" l="1"/>
  <c r="J17" i="6"/>
  <c r="K16" i="4"/>
  <c r="J17" i="4"/>
  <c r="K16" i="5"/>
  <c r="J17" i="5"/>
  <c r="K14" i="3"/>
  <c r="J15" i="3"/>
  <c r="J19" i="1"/>
  <c r="K18" i="1"/>
  <c r="J16" i="2"/>
  <c r="K15" i="2"/>
  <c r="J20" i="1" l="1"/>
  <c r="K19" i="1"/>
  <c r="J17" i="2"/>
  <c r="K16" i="2"/>
  <c r="J16" i="3"/>
  <c r="K15" i="3"/>
  <c r="J18" i="5"/>
  <c r="K17" i="5"/>
  <c r="K17" i="4"/>
  <c r="J18" i="4"/>
  <c r="J18" i="6"/>
  <c r="K17" i="6"/>
  <c r="K18" i="4" l="1"/>
  <c r="J19" i="4"/>
  <c r="K18" i="6"/>
  <c r="J19" i="6"/>
  <c r="J19" i="5"/>
  <c r="K18" i="5"/>
  <c r="J17" i="3"/>
  <c r="K16" i="3"/>
  <c r="K17" i="2"/>
  <c r="J18" i="2"/>
  <c r="J21" i="1"/>
  <c r="K20" i="1"/>
  <c r="J22" i="1" l="1"/>
  <c r="K21" i="1"/>
  <c r="J20" i="5"/>
  <c r="K19" i="5"/>
  <c r="J20" i="6"/>
  <c r="K19" i="6"/>
  <c r="J20" i="4"/>
  <c r="K19" i="4"/>
  <c r="K18" i="2"/>
  <c r="J19" i="2"/>
  <c r="J18" i="3"/>
  <c r="K17" i="3"/>
  <c r="J19" i="3" l="1"/>
  <c r="K18" i="3"/>
  <c r="K19" i="2"/>
  <c r="J20" i="2"/>
  <c r="J21" i="4"/>
  <c r="K20" i="4"/>
  <c r="J21" i="6"/>
  <c r="K20" i="6"/>
  <c r="J21" i="5"/>
  <c r="K20" i="5"/>
  <c r="K22" i="1"/>
  <c r="J23" i="1"/>
  <c r="K23" i="1" l="1"/>
  <c r="J24" i="1"/>
  <c r="J22" i="5"/>
  <c r="K21" i="5"/>
  <c r="K21" i="4"/>
  <c r="J22" i="4"/>
  <c r="K21" i="6"/>
  <c r="J22" i="6"/>
  <c r="K20" i="2"/>
  <c r="J21" i="2"/>
  <c r="K19" i="3"/>
  <c r="J20" i="3"/>
  <c r="J21" i="3" l="1"/>
  <c r="K20" i="3"/>
  <c r="J22" i="2"/>
  <c r="K21" i="2"/>
  <c r="K22" i="6"/>
  <c r="J23" i="6"/>
  <c r="K22" i="4"/>
  <c r="J23" i="4"/>
  <c r="K22" i="5"/>
  <c r="J23" i="5"/>
  <c r="K24" i="1"/>
  <c r="J25" i="1"/>
  <c r="J26" i="1" l="1"/>
  <c r="K25" i="1"/>
  <c r="K23" i="5"/>
  <c r="J24" i="5"/>
  <c r="K23" i="4"/>
  <c r="J24" i="4"/>
  <c r="J24" i="6"/>
  <c r="K23" i="6"/>
  <c r="J23" i="2"/>
  <c r="K22" i="2"/>
  <c r="J22" i="3"/>
  <c r="K21" i="3"/>
  <c r="J23" i="3" l="1"/>
  <c r="K22" i="3"/>
  <c r="J24" i="2"/>
  <c r="K23" i="2"/>
  <c r="J25" i="6"/>
  <c r="K24" i="6"/>
  <c r="K24" i="4"/>
  <c r="J25" i="4"/>
  <c r="K24" i="5"/>
  <c r="J25" i="5"/>
  <c r="J27" i="1"/>
  <c r="K26" i="1"/>
  <c r="K27" i="1" l="1"/>
  <c r="J28" i="1"/>
  <c r="J26" i="5"/>
  <c r="K25" i="5"/>
  <c r="J26" i="4"/>
  <c r="K25" i="4"/>
  <c r="J26" i="6"/>
  <c r="K25" i="6"/>
  <c r="K24" i="2"/>
  <c r="J25" i="2"/>
  <c r="K23" i="3"/>
  <c r="J24" i="3"/>
  <c r="J26" i="2" l="1"/>
  <c r="K25" i="2"/>
  <c r="K24" i="3"/>
  <c r="J25" i="3"/>
  <c r="J27" i="6"/>
  <c r="K26" i="6"/>
  <c r="J27" i="4"/>
  <c r="K26" i="4"/>
  <c r="J27" i="5"/>
  <c r="K26" i="5"/>
  <c r="K28" i="1"/>
  <c r="J29" i="1"/>
  <c r="J30" i="1" l="1"/>
  <c r="K29" i="1"/>
  <c r="J26" i="3"/>
  <c r="K25" i="3"/>
  <c r="K27" i="5"/>
  <c r="J28" i="5"/>
  <c r="K27" i="4"/>
  <c r="J28" i="4"/>
  <c r="K27" i="6"/>
  <c r="J28" i="6"/>
  <c r="J27" i="2"/>
  <c r="K26" i="2"/>
  <c r="K28" i="6" l="1"/>
  <c r="J29" i="6"/>
  <c r="K28" i="4"/>
  <c r="J29" i="4"/>
  <c r="K28" i="5"/>
  <c r="J29" i="5"/>
  <c r="K26" i="3"/>
  <c r="J27" i="3"/>
  <c r="J28" i="2"/>
  <c r="K27" i="2"/>
  <c r="J31" i="1"/>
  <c r="K30" i="1"/>
  <c r="J28" i="3" l="1"/>
  <c r="K27" i="3"/>
  <c r="J30" i="4"/>
  <c r="K29" i="4"/>
  <c r="J29" i="2"/>
  <c r="K28" i="2"/>
  <c r="J30" i="5"/>
  <c r="K29" i="5"/>
  <c r="K29" i="6"/>
  <c r="J30" i="6"/>
  <c r="J32" i="1"/>
  <c r="K31" i="1"/>
  <c r="J31" i="6" l="1"/>
  <c r="K30" i="6"/>
  <c r="J29" i="3"/>
  <c r="K28" i="3"/>
  <c r="J31" i="4"/>
  <c r="K30" i="4"/>
  <c r="J33" i="1"/>
  <c r="K32" i="1"/>
  <c r="J31" i="5"/>
  <c r="K30" i="5"/>
  <c r="K29" i="2"/>
  <c r="J30" i="2"/>
  <c r="K30" i="2" l="1"/>
  <c r="J31" i="2"/>
  <c r="J32" i="5"/>
  <c r="K31" i="5"/>
  <c r="J34" i="1"/>
  <c r="K33" i="1"/>
  <c r="J32" i="4"/>
  <c r="K31" i="4"/>
  <c r="K29" i="3"/>
  <c r="J30" i="3"/>
  <c r="J32" i="6"/>
  <c r="K31" i="6"/>
  <c r="K30" i="3" l="1"/>
  <c r="J31" i="3"/>
  <c r="J33" i="6"/>
  <c r="K33" i="6" s="1"/>
  <c r="K32" i="6"/>
  <c r="J33" i="4"/>
  <c r="K33" i="4" s="1"/>
  <c r="K32" i="4"/>
  <c r="K34" i="1"/>
  <c r="J35" i="1"/>
  <c r="K35" i="1" s="1"/>
  <c r="J33" i="5"/>
  <c r="K33" i="5" s="1"/>
  <c r="K32" i="5"/>
  <c r="J32" i="2"/>
  <c r="K31" i="2"/>
  <c r="J33" i="2" l="1"/>
  <c r="K32" i="2"/>
  <c r="J32" i="3"/>
  <c r="K31" i="3"/>
  <c r="K32" i="3" l="1"/>
  <c r="J33" i="3"/>
  <c r="J34" i="2"/>
  <c r="K34" i="2" s="1"/>
  <c r="K33" i="2"/>
  <c r="J34" i="3" l="1"/>
  <c r="K33" i="3"/>
  <c r="K34" i="3" l="1"/>
  <c r="H38" i="3"/>
</calcChain>
</file>

<file path=xl/sharedStrings.xml><?xml version="1.0" encoding="utf-8"?>
<sst xmlns="http://schemas.openxmlformats.org/spreadsheetml/2006/main" count="1186" uniqueCount="146">
  <si>
    <t>هوستل الأهرامات — سجل حركة صندوق المصروفات النثرية</t>
  </si>
  <si>
    <t>سقف الصندوق (ج):</t>
  </si>
  <si>
    <t>حد الانذار (ج):</t>
  </si>
  <si>
    <t>رقم</t>
  </si>
  <si>
    <t>التاريخ</t>
  </si>
  <si>
    <t>رصيد افتتاحي</t>
  </si>
  <si>
    <t>رقم الاذن</t>
  </si>
  <si>
    <t>البيان</t>
  </si>
  <si>
    <t>الجهة المستلمة</t>
  </si>
  <si>
    <t>مصروف (ج)</t>
  </si>
  <si>
    <t>إيراد (ج)</t>
  </si>
  <si>
    <t>رقم الفاتورة</t>
  </si>
  <si>
    <t>رصيد متبقي</t>
  </si>
  <si>
    <t>تنبيه</t>
  </si>
  <si>
    <t>ملاحظات</t>
  </si>
  <si>
    <t>توقيع الصراف</t>
  </si>
  <si>
    <t>توقيع المراجع</t>
  </si>
  <si>
    <t>تحويل انستاباي</t>
  </si>
  <si>
    <t>توصيل قماش ظهر السراير</t>
  </si>
  <si>
    <t>مندوب الوصيل</t>
  </si>
  <si>
    <t>باقي راتب يوسف</t>
  </si>
  <si>
    <t xml:space="preserve">سلفة ل احمد البار من مرتب شهر </t>
  </si>
  <si>
    <t>دفعة للفنانة اكل</t>
  </si>
  <si>
    <t>ايراد مغسلة</t>
  </si>
  <si>
    <t>مشترك بسلك ثلاثي</t>
  </si>
  <si>
    <t>كارت شحن يوسف</t>
  </si>
  <si>
    <t>شحن وغسيل تكييف الاستقبال</t>
  </si>
  <si>
    <t>تحويل بنكي من أ محمد مرسي</t>
  </si>
  <si>
    <t>بطاريات للخزينة</t>
  </si>
  <si>
    <t xml:space="preserve">دبل فيس </t>
  </si>
  <si>
    <t>بن ضيافة</t>
  </si>
  <si>
    <t>مفك + زرادية</t>
  </si>
  <si>
    <t>مشترك بسلك</t>
  </si>
  <si>
    <t>دفعة من حساب علاء الكهربائي</t>
  </si>
  <si>
    <t>باقي 2000 جنيه</t>
  </si>
  <si>
    <t>شراء كشكول سلك</t>
  </si>
  <si>
    <t>دفعة من حساب احمد الكاميرات</t>
  </si>
  <si>
    <t>مكافأة مبيت في الفندق للموظف يوسف</t>
  </si>
  <si>
    <t>سلفة من الراتب للموظف يوسف</t>
  </si>
  <si>
    <t>ايجار غرفة 401 بسعر 1000 لليلة لمدة 8 ليالي</t>
  </si>
  <si>
    <t xml:space="preserve">دفعة مقدمة من المفروشات لشركة كوين </t>
  </si>
  <si>
    <t>عمولة تسكين الغرفة 401</t>
  </si>
  <si>
    <t xml:space="preserve">ادوات مكتبية </t>
  </si>
  <si>
    <t>غرفة 402 ليلتين</t>
  </si>
  <si>
    <t xml:space="preserve">غرفة 406 ليلتين </t>
  </si>
  <si>
    <t>افطار الغرف 5 عملاء *40 جنيه يوم 8 اغسطس</t>
  </si>
  <si>
    <t xml:space="preserve">عمولة تسكين غرفة 406 </t>
  </si>
  <si>
    <t xml:space="preserve">سبلايز للغرف </t>
  </si>
  <si>
    <t>الاجمالي</t>
  </si>
  <si>
    <t>منقول</t>
  </si>
  <si>
    <t>دفعة الكهربائي الاخيرة علاء</t>
  </si>
  <si>
    <t>افطار الغرف 5 عملاء *40 جنيه يوم 9 اغسطس</t>
  </si>
  <si>
    <t>رول تواليت</t>
  </si>
  <si>
    <t>هدايا للنزلاء</t>
  </si>
  <si>
    <t xml:space="preserve">باقي حساب شركة كوين </t>
  </si>
  <si>
    <t>ايجار 7 ايام غرفة 701*1000 جنيه</t>
  </si>
  <si>
    <t xml:space="preserve">عمولة ايجار غرفة 701 </t>
  </si>
  <si>
    <t>ايجار غرفة ليلة واحدة</t>
  </si>
  <si>
    <t xml:space="preserve">عهدة مع يوسف </t>
  </si>
  <si>
    <t xml:space="preserve">غسيل خاص بالفندق مفروشات </t>
  </si>
  <si>
    <t>سلفة للموظف يوسف</t>
  </si>
  <si>
    <t xml:space="preserve">مواصلات اكتوبر ذهاب وعودة اوبر </t>
  </si>
  <si>
    <t xml:space="preserve">فرج النجار تركيب ظهور السراير الدور 1 و2 </t>
  </si>
  <si>
    <t>دفعة باقي 300</t>
  </si>
  <si>
    <t xml:space="preserve">تحويل انستا من رأس المال </t>
  </si>
  <si>
    <t xml:space="preserve">دفعة 50% لشركة كوين للمفروشات </t>
  </si>
  <si>
    <t>PO-2026-0811-V1</t>
  </si>
  <si>
    <t xml:space="preserve">بن ضيافة </t>
  </si>
  <si>
    <t>مياه معدنية  2 كرتونة</t>
  </si>
  <si>
    <t>عدد 7 رسيفر و200 متر سلك دش</t>
  </si>
  <si>
    <t>بيد أستاذ خالد</t>
  </si>
  <si>
    <t>اخر دفعة من حساب الكراسي</t>
  </si>
  <si>
    <t>دفعة تمويل من المالك</t>
  </si>
  <si>
    <t>تم اشراء من طرف استاذ خالد مباشرة لذك تم معالجتها كايراد ومصروف خاصة بشراء الرسيفرات والسلك ودفعة الكراسي</t>
  </si>
  <si>
    <t xml:space="preserve">افطار الغرف </t>
  </si>
  <si>
    <t>شراء زاوية ومسامير للنجار</t>
  </si>
  <si>
    <t>مواصلات</t>
  </si>
  <si>
    <t xml:space="preserve">مستلزمات تركيب الرسيفر </t>
  </si>
  <si>
    <t>تمويل من المالك</t>
  </si>
  <si>
    <t xml:space="preserve">1000 دولار </t>
  </si>
  <si>
    <t xml:space="preserve">فاتورة  كهرباء شهري يوليو واغسطس </t>
  </si>
  <si>
    <t>مكافأة يوسف مبيت الشهر الماضي</t>
  </si>
  <si>
    <t>مواصلات لشركة التسويق  في المقطم لاحضار اللابتوب</t>
  </si>
  <si>
    <t xml:space="preserve">اخر دفعة من المرايات ل روماني </t>
  </si>
  <si>
    <t>شراء معطر وملمع واكياس قمامة</t>
  </si>
  <si>
    <t>بن</t>
  </si>
  <si>
    <t>افطار غرفتين يومي 13 و14 اغسطس</t>
  </si>
  <si>
    <t xml:space="preserve">عهده مع منسي </t>
  </si>
  <si>
    <t xml:space="preserve">توصيل المفروشات </t>
  </si>
  <si>
    <t xml:space="preserve">باقي حساب احمد كاميرات </t>
  </si>
  <si>
    <t xml:space="preserve">تم تقفيل الحساب القديم </t>
  </si>
  <si>
    <t xml:space="preserve">باقي مكافأة يوسف </t>
  </si>
  <si>
    <t xml:space="preserve">مكافأة مبيت وعمل اضافي </t>
  </si>
  <si>
    <t>كرتون ماء 5*130</t>
  </si>
  <si>
    <t xml:space="preserve">تمويل من المالك شيك بنكي </t>
  </si>
  <si>
    <t xml:space="preserve">تمويل من المالك 2600 دولار *50.20 </t>
  </si>
  <si>
    <t>مواصلات صرف الشيك وتغيير الدولارات</t>
  </si>
  <si>
    <t>ايجار غرفتين 401 و 405 ليلة واحدة *1000 لغرفة</t>
  </si>
  <si>
    <t>ايجار شهر اغسطس</t>
  </si>
  <si>
    <t>عند الاستاذ خالد باقي حساب بينه وبين مكرونة</t>
  </si>
  <si>
    <t>سلفة ل جومانة وجيه من الراتب</t>
  </si>
  <si>
    <t xml:space="preserve">مسامير تعليق التابلوهات في غرف الدور 1و 2 </t>
  </si>
  <si>
    <t xml:space="preserve">مصنعية النجار لتعليق البراويزوضبط الابواب </t>
  </si>
  <si>
    <t xml:space="preserve">سلفة  ل مدحت من الراتب </t>
  </si>
  <si>
    <t xml:space="preserve">تمويل من المالك </t>
  </si>
  <si>
    <t>تحويل بنكي بتاريخ اليوم</t>
  </si>
  <si>
    <t>صواني القهوة للغرف 8 وادوات مكتبية</t>
  </si>
  <si>
    <t xml:space="preserve">مجموعة تجميع السرير للنجار </t>
  </si>
  <si>
    <t>ملة سرير 160سم للجناح</t>
  </si>
  <si>
    <t>اطباق واكواب من امازون</t>
  </si>
  <si>
    <t xml:space="preserve">حساب النجار تقفيل كل شغل النجارة </t>
  </si>
  <si>
    <t>تقفيل كل الحساب القديم</t>
  </si>
  <si>
    <t>ماء وسوفت درينك للحفلة</t>
  </si>
  <si>
    <t>مشتريات نسكافيه ومنظفات وعصائر</t>
  </si>
  <si>
    <t>مبيت يوسف</t>
  </si>
  <si>
    <t>تمويل من المالك لشراء امواب واطباق</t>
  </si>
  <si>
    <t xml:space="preserve">غسيل السجاد </t>
  </si>
  <si>
    <t>سلفة من راتب يوسف</t>
  </si>
  <si>
    <t>هوستل الأهرامات — سجل حركة صندوق المصروفات النثرية (1-C Petty Cash)</t>
  </si>
  <si>
    <t>حد الإنذار (ج):</t>
  </si>
  <si>
    <t>رقم الإذن</t>
  </si>
  <si>
    <t>2026-08-01</t>
  </si>
  <si>
    <t/>
  </si>
  <si>
    <t>رصيد تحويل افتتاحي للخزينة</t>
  </si>
  <si>
    <t>صراف الخزينة</t>
  </si>
  <si>
    <t>INV-101</t>
  </si>
  <si>
    <t>تم الاستلام كاش</t>
  </si>
  <si>
    <t>أحمد</t>
  </si>
  <si>
    <t>المراجع</t>
  </si>
  <si>
    <t>2026-08-02</t>
  </si>
  <si>
    <t>شراء مستلزمات نظافة وضيافة</t>
  </si>
  <si>
    <t>الخدمات العامة</t>
  </si>
  <si>
    <t>INV-102</t>
  </si>
  <si>
    <t>فاتورة معتمدة</t>
  </si>
  <si>
    <t>2026-08-03</t>
  </si>
  <si>
    <t>مصاريف صيانة سباكة طارئة</t>
  </si>
  <si>
    <t>فني الصيانة</t>
  </si>
  <si>
    <t>INV-103</t>
  </si>
  <si>
    <t>إذن صيانة #FR1</t>
  </si>
  <si>
    <t>2026-08-05</t>
  </si>
  <si>
    <t>إيراد خدمات مغسلة النزلاء</t>
  </si>
  <si>
    <t>الاستقبال</t>
  </si>
  <si>
    <t>REC-55</t>
  </si>
  <si>
    <t>تحصيل كاش</t>
  </si>
  <si>
    <t>هوستل الأهرامات — سجل حركة صندوق المصروفات النثرية (2-A Petty Cash)</t>
  </si>
  <si>
    <t>هوستل الأهرامات — سجل حركة صندوق المصروفات النثرية (2-B Petty 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</si>
</sst>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4"/>
      <color rgb="FFFFFFFF"/>
      <name val="Arial"/>
    </font>
    <font>
      <b/>
      <sz val="10"/>
      <name val="Aptos Narrow"/>
    </font>
    <font>
      <b/>
      <sz val="11"/>
      <color rgb="FFC00000"/>
      <name val="Aptos Narrow"/>
    </font>
    <font>
      <b/>
      <sz val="9.5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2F559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3F4F6"/>
      </left>
      <right style="thin">
        <color rgb="FFF3F4F6"/>
      </right>
      <top style="thin">
        <color rgb="FFF3F4F6"/>
      </top>
      <bottom style="thin">
        <color rgb="FFF3F4F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4" fillId="0" borderId="0" xfId="0" applyFont="1"/>
    <xf numFmtId="0" fontId="5" fillId="0" borderId="1" xfId="0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6" fillId="0" borderId="1" xfId="0" applyFont="1" applyBorder="1"/>
    <xf numFmtId="14" fontId="6" fillId="0" borderId="1" xfId="0" applyNumberFormat="1" applyFont="1" applyBorder="1"/>
    <xf numFmtId="0" fontId="3" fillId="0" borderId="1" xfId="0" applyFont="1" applyBorder="1"/>
    <xf numFmtId="0" fontId="2" fillId="0" borderId="2" xfId="0" applyFont="1" applyBorder="1"/>
    <xf numFmtId="0" fontId="2" fillId="4" borderId="1" xfId="0" applyFont="1" applyFill="1" applyBorder="1"/>
    <xf numFmtId="14" fontId="2" fillId="4" borderId="1" xfId="0" applyNumberFormat="1" applyFont="1" applyFill="1" applyBorder="1"/>
    <xf numFmtId="0" fontId="6" fillId="4" borderId="1" xfId="0" applyFont="1" applyFill="1" applyBorder="1"/>
    <xf numFmtId="0" fontId="8" fillId="0" borderId="0" xfId="0" applyFont="1"/>
    <xf numFmtId="0" fontId="9" fillId="0" borderId="0" xfId="0" applyFont="1"/>
    <xf numFmtId="0" fontId="10" fillId="6" borderId="3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rightToLeft="1" zoomScaleNormal="100" workbookViewId="0">
      <selection activeCell="A17" sqref="A17"/>
    </sheetView>
  </sheetViews>
  <sheetFormatPr defaultRowHeight="14.5" customHeight="1" x14ac:dyDescent="0.35"/>
  <cols>
    <col min="1" max="1" width="8.6328125" customWidth="1"/>
    <col min="2" max="2" width="12.6328125" customWidth="1"/>
    <col min="3" max="3" width="14.6328125" customWidth="1"/>
    <col min="4" max="4" width="16.6328125" customWidth="1"/>
    <col min="5" max="5" width="32.54296875" customWidth="1"/>
    <col min="6" max="6" width="18.6328125" customWidth="1"/>
    <col min="7" max="10" width="14.6328125" customWidth="1"/>
    <col min="11" max="12" width="18.6328125" customWidth="1"/>
    <col min="13" max="14" width="16.6328125" customWidth="1"/>
  </cols>
  <sheetData>
    <row r="1" spans="1:14" ht="38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x14ac:dyDescent="0.35">
      <c r="A2" s="1" t="s">
        <v>1</v>
      </c>
      <c r="B2" s="2"/>
      <c r="C2" s="1" t="s">
        <v>2</v>
      </c>
      <c r="D2" s="3">
        <v>5000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s="4" customFormat="1" ht="30" customHeight="1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</row>
    <row r="4" spans="1:14" x14ac:dyDescent="0.35">
      <c r="A4" s="6">
        <v>1</v>
      </c>
      <c r="B4" s="7">
        <v>46238</v>
      </c>
      <c r="C4" s="6">
        <v>0</v>
      </c>
      <c r="D4" s="6"/>
      <c r="E4" s="8" t="s">
        <v>17</v>
      </c>
      <c r="F4" s="6"/>
      <c r="G4" s="6"/>
      <c r="H4" s="6">
        <v>5000</v>
      </c>
      <c r="I4" s="6"/>
      <c r="J4" s="6">
        <f>C4-G4+H4</f>
        <v>5000</v>
      </c>
      <c r="K4" s="6" t="str">
        <f>IF(J4&lt;200,"تنبيه: اعد التعبئة","مقبول")</f>
        <v>مقبول</v>
      </c>
      <c r="L4" s="6"/>
      <c r="M4" s="6"/>
      <c r="N4" s="6"/>
    </row>
    <row r="5" spans="1:14" x14ac:dyDescent="0.35">
      <c r="A5" s="6">
        <v>2</v>
      </c>
      <c r="B5" s="9">
        <v>46238</v>
      </c>
      <c r="C5" s="6"/>
      <c r="D5" s="6"/>
      <c r="E5" s="8" t="s">
        <v>18</v>
      </c>
      <c r="F5" s="6" t="s">
        <v>19</v>
      </c>
      <c r="G5" s="6">
        <v>175</v>
      </c>
      <c r="H5" s="6"/>
      <c r="I5" s="6"/>
      <c r="J5" s="6">
        <f t="shared" ref="J5:J35" si="0">J4-G5+H5</f>
        <v>4825</v>
      </c>
      <c r="K5" s="6" t="str">
        <f t="shared" ref="K5:K35" si="1">IF(J5&lt;200,"تنبيه: اعد التعبئة","مقبول")</f>
        <v>مقبول</v>
      </c>
      <c r="L5" s="6"/>
      <c r="M5" s="6"/>
      <c r="N5" s="6"/>
    </row>
    <row r="6" spans="1:14" x14ac:dyDescent="0.35">
      <c r="A6" s="6">
        <v>3</v>
      </c>
      <c r="B6" s="9">
        <v>46238</v>
      </c>
      <c r="C6" s="6"/>
      <c r="D6" s="6"/>
      <c r="E6" s="8" t="s">
        <v>17</v>
      </c>
      <c r="F6" s="6"/>
      <c r="G6" s="6"/>
      <c r="H6" s="6">
        <v>5000</v>
      </c>
      <c r="I6" s="6"/>
      <c r="J6" s="6">
        <f t="shared" si="0"/>
        <v>9825</v>
      </c>
      <c r="K6" s="6" t="str">
        <f t="shared" si="1"/>
        <v>مقبول</v>
      </c>
      <c r="L6" s="6"/>
      <c r="M6" s="6"/>
      <c r="N6" s="6"/>
    </row>
    <row r="7" spans="1:14" x14ac:dyDescent="0.35">
      <c r="A7" s="6">
        <v>4</v>
      </c>
      <c r="B7" s="9">
        <v>46238</v>
      </c>
      <c r="C7" s="6"/>
      <c r="D7" s="6"/>
      <c r="E7" s="8" t="s">
        <v>17</v>
      </c>
      <c r="F7" s="6"/>
      <c r="G7" s="6"/>
      <c r="H7" s="6">
        <v>5000</v>
      </c>
      <c r="I7" s="6"/>
      <c r="J7" s="6">
        <f t="shared" si="0"/>
        <v>14825</v>
      </c>
      <c r="K7" s="6" t="str">
        <f t="shared" si="1"/>
        <v>مقبول</v>
      </c>
      <c r="L7" s="6"/>
      <c r="M7" s="6"/>
      <c r="N7" s="6"/>
    </row>
    <row r="8" spans="1:14" x14ac:dyDescent="0.35">
      <c r="A8" s="6">
        <v>5</v>
      </c>
      <c r="B8" s="9">
        <v>46238</v>
      </c>
      <c r="C8" s="6"/>
      <c r="D8" s="6"/>
      <c r="E8" s="8" t="s">
        <v>20</v>
      </c>
      <c r="F8" s="6"/>
      <c r="G8" s="6">
        <v>4500</v>
      </c>
      <c r="H8" s="6"/>
      <c r="I8" s="6"/>
      <c r="J8" s="6">
        <f>J7-G8+H8</f>
        <v>10325</v>
      </c>
      <c r="K8" s="6" t="str">
        <f t="shared" si="1"/>
        <v>مقبول</v>
      </c>
      <c r="L8" s="6"/>
      <c r="M8" s="6"/>
      <c r="N8" s="6"/>
    </row>
    <row r="9" spans="1:14" x14ac:dyDescent="0.35">
      <c r="A9" s="6">
        <v>6</v>
      </c>
      <c r="B9" s="9">
        <v>46238</v>
      </c>
      <c r="C9" s="6"/>
      <c r="D9" s="6"/>
      <c r="E9" s="8" t="s">
        <v>21</v>
      </c>
      <c r="F9" s="6"/>
      <c r="G9" s="6">
        <v>2500</v>
      </c>
      <c r="H9" s="6"/>
      <c r="I9" s="6"/>
      <c r="J9" s="6">
        <f t="shared" si="0"/>
        <v>7825</v>
      </c>
      <c r="K9" s="6" t="str">
        <f t="shared" si="1"/>
        <v>مقبول</v>
      </c>
      <c r="L9" s="6"/>
      <c r="M9" s="6"/>
      <c r="N9" s="6"/>
    </row>
    <row r="10" spans="1:14" x14ac:dyDescent="0.35">
      <c r="A10" s="6"/>
      <c r="B10" s="9"/>
      <c r="C10" s="6"/>
      <c r="D10" s="6"/>
      <c r="E10" s="8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5">
      <c r="A11" s="6">
        <v>7</v>
      </c>
      <c r="B11" s="9">
        <v>46238</v>
      </c>
      <c r="C11" s="6"/>
      <c r="D11" s="6"/>
      <c r="E11" s="8" t="s">
        <v>22</v>
      </c>
      <c r="F11" s="6"/>
      <c r="G11" s="6">
        <v>5000</v>
      </c>
      <c r="H11" s="6"/>
      <c r="I11" s="6"/>
      <c r="J11" s="6">
        <f>J9-G11+H11</f>
        <v>2825</v>
      </c>
      <c r="K11" s="6" t="str">
        <f t="shared" si="1"/>
        <v>مقبول</v>
      </c>
      <c r="L11" s="6"/>
      <c r="M11" s="6"/>
      <c r="N11" s="6"/>
    </row>
    <row r="12" spans="1:14" x14ac:dyDescent="0.35">
      <c r="A12" s="6">
        <v>8</v>
      </c>
      <c r="B12" s="9">
        <v>46239</v>
      </c>
      <c r="C12" s="6"/>
      <c r="D12" s="6"/>
      <c r="E12" s="8" t="s">
        <v>23</v>
      </c>
      <c r="F12" s="6"/>
      <c r="G12" s="6"/>
      <c r="H12" s="6">
        <v>120</v>
      </c>
      <c r="I12" s="6"/>
      <c r="J12" s="6">
        <f t="shared" si="0"/>
        <v>2945</v>
      </c>
      <c r="K12" s="6" t="str">
        <f t="shared" si="1"/>
        <v>مقبول</v>
      </c>
      <c r="L12" s="6"/>
      <c r="M12" s="6"/>
      <c r="N12" s="6"/>
    </row>
    <row r="13" spans="1:14" x14ac:dyDescent="0.35">
      <c r="A13" s="6">
        <v>9</v>
      </c>
      <c r="B13" s="9">
        <v>46239</v>
      </c>
      <c r="C13" s="6"/>
      <c r="D13" s="6"/>
      <c r="E13" s="8" t="s">
        <v>24</v>
      </c>
      <c r="F13" s="6"/>
      <c r="G13" s="6">
        <v>260</v>
      </c>
      <c r="H13" s="6"/>
      <c r="I13" s="6"/>
      <c r="J13" s="6">
        <f>J12-G13+H13</f>
        <v>2685</v>
      </c>
      <c r="K13" s="6" t="str">
        <f t="shared" si="1"/>
        <v>مقبول</v>
      </c>
      <c r="L13" s="6"/>
      <c r="M13" s="6"/>
      <c r="N13" s="6"/>
    </row>
    <row r="14" spans="1:14" x14ac:dyDescent="0.35">
      <c r="A14" s="6">
        <v>10</v>
      </c>
      <c r="B14" s="9">
        <v>46239</v>
      </c>
      <c r="C14" s="6"/>
      <c r="D14" s="6"/>
      <c r="E14" s="8" t="s">
        <v>25</v>
      </c>
      <c r="F14" s="6"/>
      <c r="G14" s="6">
        <v>100</v>
      </c>
      <c r="H14" s="6"/>
      <c r="I14" s="6"/>
      <c r="J14" s="6">
        <f t="shared" si="0"/>
        <v>2585</v>
      </c>
      <c r="K14" s="6" t="str">
        <f t="shared" si="1"/>
        <v>مقبول</v>
      </c>
      <c r="L14" s="6"/>
      <c r="M14" s="6"/>
      <c r="N14" s="6"/>
    </row>
    <row r="15" spans="1:14" x14ac:dyDescent="0.35">
      <c r="A15" s="6">
        <v>11</v>
      </c>
      <c r="B15" s="9">
        <v>46239</v>
      </c>
      <c r="C15" s="6"/>
      <c r="D15" s="6"/>
      <c r="E15" s="6" t="s">
        <v>26</v>
      </c>
      <c r="F15" s="6"/>
      <c r="G15" s="6">
        <v>1350</v>
      </c>
      <c r="H15" s="6"/>
      <c r="I15" s="6"/>
      <c r="J15" s="6">
        <f t="shared" si="0"/>
        <v>1235</v>
      </c>
      <c r="K15" s="6" t="str">
        <f t="shared" si="1"/>
        <v>مقبول</v>
      </c>
      <c r="L15" s="6"/>
      <c r="M15" s="6"/>
      <c r="N15" s="6"/>
    </row>
    <row r="16" spans="1:14" x14ac:dyDescent="0.35">
      <c r="A16" s="6">
        <v>12</v>
      </c>
      <c r="B16" s="7">
        <v>46240</v>
      </c>
      <c r="C16" s="6"/>
      <c r="D16" s="6"/>
      <c r="E16" s="6" t="s">
        <v>27</v>
      </c>
      <c r="F16" s="6"/>
      <c r="G16" s="6"/>
      <c r="H16" s="6">
        <v>50000</v>
      </c>
      <c r="I16" s="6"/>
      <c r="J16" s="6">
        <f t="shared" si="0"/>
        <v>51235</v>
      </c>
      <c r="K16" s="6" t="str">
        <f t="shared" si="1"/>
        <v>مقبول</v>
      </c>
      <c r="L16" s="6"/>
      <c r="M16" s="6"/>
      <c r="N16" s="6"/>
    </row>
    <row r="17" spans="1:14" x14ac:dyDescent="0.35">
      <c r="A17" s="6">
        <v>13</v>
      </c>
      <c r="B17" s="7">
        <v>46240</v>
      </c>
      <c r="C17" s="6"/>
      <c r="D17" s="6"/>
      <c r="E17" s="6" t="s">
        <v>28</v>
      </c>
      <c r="F17" s="6"/>
      <c r="G17" s="6">
        <v>60</v>
      </c>
      <c r="H17" s="6"/>
      <c r="I17" s="6"/>
      <c r="J17" s="6">
        <f t="shared" si="0"/>
        <v>51175</v>
      </c>
      <c r="K17" s="6" t="str">
        <f t="shared" si="1"/>
        <v>مقبول</v>
      </c>
      <c r="L17" s="6"/>
      <c r="M17" s="6"/>
      <c r="N17" s="6"/>
    </row>
    <row r="18" spans="1:14" x14ac:dyDescent="0.35">
      <c r="A18" s="6">
        <v>14</v>
      </c>
      <c r="B18" s="7">
        <v>46240</v>
      </c>
      <c r="C18" s="6"/>
      <c r="D18" s="6"/>
      <c r="E18" s="6" t="s">
        <v>29</v>
      </c>
      <c r="F18" s="6"/>
      <c r="G18" s="6">
        <v>165</v>
      </c>
      <c r="H18" s="6"/>
      <c r="I18" s="6"/>
      <c r="J18" s="6">
        <f t="shared" si="0"/>
        <v>51010</v>
      </c>
      <c r="K18" s="6" t="str">
        <f t="shared" si="1"/>
        <v>مقبول</v>
      </c>
      <c r="L18" s="6"/>
      <c r="M18" s="6"/>
      <c r="N18" s="6"/>
    </row>
    <row r="19" spans="1:14" x14ac:dyDescent="0.35">
      <c r="A19" s="6">
        <v>15</v>
      </c>
      <c r="B19" s="7">
        <v>46240</v>
      </c>
      <c r="C19" s="6"/>
      <c r="D19" s="6"/>
      <c r="E19" s="6" t="s">
        <v>30</v>
      </c>
      <c r="F19" s="6"/>
      <c r="G19" s="6">
        <v>250</v>
      </c>
      <c r="H19" s="6"/>
      <c r="I19" s="6"/>
      <c r="J19" s="6">
        <f t="shared" si="0"/>
        <v>50760</v>
      </c>
      <c r="K19" s="6" t="str">
        <f t="shared" si="1"/>
        <v>مقبول</v>
      </c>
      <c r="L19" s="6"/>
      <c r="M19" s="6"/>
      <c r="N19" s="6"/>
    </row>
    <row r="20" spans="1:14" x14ac:dyDescent="0.35">
      <c r="A20" s="6">
        <v>16</v>
      </c>
      <c r="B20" s="7">
        <v>46240</v>
      </c>
      <c r="C20" s="6"/>
      <c r="D20" s="6"/>
      <c r="E20" s="6" t="s">
        <v>31</v>
      </c>
      <c r="F20" s="6"/>
      <c r="G20" s="6">
        <v>140</v>
      </c>
      <c r="H20" s="6"/>
      <c r="I20" s="6"/>
      <c r="J20" s="6">
        <f t="shared" si="0"/>
        <v>50620</v>
      </c>
      <c r="K20" s="6" t="str">
        <f t="shared" si="1"/>
        <v>مقبول</v>
      </c>
      <c r="L20" s="6"/>
      <c r="M20" s="6"/>
      <c r="N20" s="6"/>
    </row>
    <row r="21" spans="1:14" x14ac:dyDescent="0.35">
      <c r="A21" s="6">
        <v>17</v>
      </c>
      <c r="B21" s="7">
        <v>46240</v>
      </c>
      <c r="C21" s="6"/>
      <c r="D21" s="6"/>
      <c r="E21" s="6" t="s">
        <v>32</v>
      </c>
      <c r="F21" s="6"/>
      <c r="G21" s="6">
        <v>240</v>
      </c>
      <c r="H21" s="6"/>
      <c r="I21" s="6"/>
      <c r="J21" s="6">
        <f t="shared" si="0"/>
        <v>50380</v>
      </c>
      <c r="K21" s="6" t="str">
        <f t="shared" si="1"/>
        <v>مقبول</v>
      </c>
      <c r="L21" s="6"/>
      <c r="M21" s="6"/>
      <c r="N21" s="6"/>
    </row>
    <row r="22" spans="1:14" x14ac:dyDescent="0.35">
      <c r="A22" s="6">
        <v>18</v>
      </c>
      <c r="B22" s="7">
        <v>46240</v>
      </c>
      <c r="C22" s="6"/>
      <c r="D22" s="6"/>
      <c r="E22" s="6" t="s">
        <v>33</v>
      </c>
      <c r="F22" s="6"/>
      <c r="G22" s="6">
        <v>1500</v>
      </c>
      <c r="H22" s="6"/>
      <c r="I22" s="6"/>
      <c r="J22" s="6">
        <f t="shared" si="0"/>
        <v>48880</v>
      </c>
      <c r="K22" s="6" t="str">
        <f t="shared" si="1"/>
        <v>مقبول</v>
      </c>
      <c r="L22" s="6" t="s">
        <v>34</v>
      </c>
      <c r="M22" s="6"/>
      <c r="N22" s="6"/>
    </row>
    <row r="23" spans="1:14" x14ac:dyDescent="0.35">
      <c r="A23" s="6">
        <v>19</v>
      </c>
      <c r="B23" s="7">
        <v>46240</v>
      </c>
      <c r="C23" s="6"/>
      <c r="D23" s="6"/>
      <c r="E23" s="6" t="s">
        <v>35</v>
      </c>
      <c r="F23" s="6"/>
      <c r="G23" s="6">
        <v>55</v>
      </c>
      <c r="H23" s="6"/>
      <c r="I23" s="6"/>
      <c r="J23" s="6">
        <f t="shared" si="0"/>
        <v>48825</v>
      </c>
      <c r="K23" s="6" t="str">
        <f t="shared" si="1"/>
        <v>مقبول</v>
      </c>
      <c r="L23" s="6"/>
      <c r="M23" s="6"/>
      <c r="N23" s="6"/>
    </row>
    <row r="24" spans="1:14" x14ac:dyDescent="0.35">
      <c r="A24" s="6">
        <v>20</v>
      </c>
      <c r="B24" s="7">
        <v>46240</v>
      </c>
      <c r="C24" s="6"/>
      <c r="D24" s="6"/>
      <c r="E24" s="6" t="s">
        <v>36</v>
      </c>
      <c r="F24" s="6"/>
      <c r="G24" s="6">
        <v>2500</v>
      </c>
      <c r="H24" s="6"/>
      <c r="I24" s="6"/>
      <c r="J24" s="6">
        <f t="shared" si="0"/>
        <v>46325</v>
      </c>
      <c r="K24" s="6" t="str">
        <f t="shared" si="1"/>
        <v>مقبول</v>
      </c>
      <c r="L24" s="6"/>
      <c r="M24" s="6"/>
      <c r="N24" s="6"/>
    </row>
    <row r="25" spans="1:14" x14ac:dyDescent="0.35">
      <c r="A25" s="6">
        <v>21</v>
      </c>
      <c r="B25" s="7">
        <v>46240</v>
      </c>
      <c r="C25" s="6"/>
      <c r="D25" s="6"/>
      <c r="E25" s="6" t="s">
        <v>37</v>
      </c>
      <c r="F25" s="6"/>
      <c r="G25" s="6">
        <v>300</v>
      </c>
      <c r="H25" s="6"/>
      <c r="I25" s="6"/>
      <c r="J25" s="6">
        <f t="shared" si="0"/>
        <v>46025</v>
      </c>
      <c r="K25" s="6" t="str">
        <f t="shared" si="1"/>
        <v>مقبول</v>
      </c>
      <c r="L25" s="6"/>
      <c r="M25" s="6"/>
      <c r="N25" s="6"/>
    </row>
    <row r="26" spans="1:14" x14ac:dyDescent="0.35">
      <c r="A26" s="6">
        <v>22</v>
      </c>
      <c r="B26" s="7">
        <v>46241</v>
      </c>
      <c r="C26" s="6"/>
      <c r="D26" s="6"/>
      <c r="E26" s="6" t="s">
        <v>38</v>
      </c>
      <c r="F26" s="6"/>
      <c r="G26" s="6">
        <v>200</v>
      </c>
      <c r="H26" s="6"/>
      <c r="I26" s="6"/>
      <c r="J26" s="6">
        <f t="shared" si="0"/>
        <v>45825</v>
      </c>
      <c r="K26" s="6" t="str">
        <f t="shared" si="1"/>
        <v>مقبول</v>
      </c>
      <c r="L26" s="6"/>
      <c r="M26" s="6"/>
      <c r="N26" s="6"/>
    </row>
    <row r="27" spans="1:14" x14ac:dyDescent="0.35">
      <c r="A27" s="6">
        <v>23</v>
      </c>
      <c r="B27" s="7">
        <v>46242</v>
      </c>
      <c r="C27" s="6"/>
      <c r="D27" s="6"/>
      <c r="E27" s="6" t="s">
        <v>39</v>
      </c>
      <c r="F27" s="6"/>
      <c r="G27" s="6"/>
      <c r="H27" s="6">
        <v>8000</v>
      </c>
      <c r="I27" s="6"/>
      <c r="J27" s="6">
        <f t="shared" si="0"/>
        <v>53825</v>
      </c>
      <c r="K27" s="6" t="str">
        <f t="shared" si="1"/>
        <v>مقبول</v>
      </c>
      <c r="L27" s="6"/>
      <c r="M27" s="6"/>
      <c r="N27" s="6"/>
    </row>
    <row r="28" spans="1:14" x14ac:dyDescent="0.35">
      <c r="A28" s="6">
        <v>24</v>
      </c>
      <c r="B28" s="7">
        <v>46242</v>
      </c>
      <c r="C28" s="6"/>
      <c r="D28" s="6"/>
      <c r="E28" s="6" t="s">
        <v>40</v>
      </c>
      <c r="F28" s="6"/>
      <c r="G28" s="6">
        <v>21494</v>
      </c>
      <c r="H28" s="6"/>
      <c r="I28" s="6"/>
      <c r="J28" s="6">
        <f t="shared" si="0"/>
        <v>32331</v>
      </c>
      <c r="K28" s="6" t="str">
        <f t="shared" si="1"/>
        <v>مقبول</v>
      </c>
      <c r="L28" s="6"/>
      <c r="M28" s="6"/>
      <c r="N28" s="6"/>
    </row>
    <row r="29" spans="1:14" x14ac:dyDescent="0.35">
      <c r="A29" s="6">
        <v>25</v>
      </c>
      <c r="B29" s="7">
        <v>46242</v>
      </c>
      <c r="C29" s="6"/>
      <c r="D29" s="6"/>
      <c r="E29" s="6" t="s">
        <v>41</v>
      </c>
      <c r="F29" s="6"/>
      <c r="G29" s="6">
        <v>800</v>
      </c>
      <c r="H29" s="6"/>
      <c r="I29" s="6"/>
      <c r="J29" s="6">
        <f t="shared" si="0"/>
        <v>31531</v>
      </c>
      <c r="K29" s="6" t="str">
        <f t="shared" si="1"/>
        <v>مقبول</v>
      </c>
      <c r="L29" s="6"/>
      <c r="M29" s="6"/>
      <c r="N29" s="6"/>
    </row>
    <row r="30" spans="1:14" x14ac:dyDescent="0.35">
      <c r="A30" s="6">
        <v>26</v>
      </c>
      <c r="B30" s="7">
        <v>46242</v>
      </c>
      <c r="C30" s="6"/>
      <c r="D30" s="6"/>
      <c r="E30" s="6" t="s">
        <v>42</v>
      </c>
      <c r="F30" s="6"/>
      <c r="G30" s="6">
        <v>460</v>
      </c>
      <c r="H30" s="6"/>
      <c r="I30" s="6"/>
      <c r="J30" s="6">
        <f t="shared" si="0"/>
        <v>31071</v>
      </c>
      <c r="K30" s="6" t="str">
        <f t="shared" si="1"/>
        <v>مقبول</v>
      </c>
      <c r="L30" s="6"/>
      <c r="M30" s="6"/>
      <c r="N30" s="6"/>
    </row>
    <row r="31" spans="1:14" x14ac:dyDescent="0.35">
      <c r="A31" s="6">
        <v>27</v>
      </c>
      <c r="B31" s="7">
        <v>46242</v>
      </c>
      <c r="C31" s="6"/>
      <c r="D31" s="6"/>
      <c r="E31" s="6" t="s">
        <v>43</v>
      </c>
      <c r="F31" s="6"/>
      <c r="G31" s="6"/>
      <c r="H31" s="6">
        <v>2600</v>
      </c>
      <c r="I31" s="6"/>
      <c r="J31" s="6">
        <f t="shared" si="0"/>
        <v>33671</v>
      </c>
      <c r="K31" s="6" t="str">
        <f t="shared" si="1"/>
        <v>مقبول</v>
      </c>
      <c r="L31" s="6"/>
      <c r="M31" s="6"/>
      <c r="N31" s="6"/>
    </row>
    <row r="32" spans="1:14" x14ac:dyDescent="0.35">
      <c r="A32" s="6">
        <v>28</v>
      </c>
      <c r="B32" s="7">
        <v>46242</v>
      </c>
      <c r="C32" s="6"/>
      <c r="D32" s="6"/>
      <c r="E32" s="6" t="s">
        <v>44</v>
      </c>
      <c r="F32" s="6"/>
      <c r="G32" s="6"/>
      <c r="H32" s="6">
        <v>2300</v>
      </c>
      <c r="I32" s="6"/>
      <c r="J32" s="6">
        <f t="shared" si="0"/>
        <v>35971</v>
      </c>
      <c r="K32" s="6" t="str">
        <f t="shared" si="1"/>
        <v>مقبول</v>
      </c>
      <c r="L32" s="6"/>
      <c r="M32" s="6"/>
      <c r="N32" s="6"/>
    </row>
    <row r="33" spans="1:14" x14ac:dyDescent="0.35">
      <c r="A33" s="6">
        <v>29</v>
      </c>
      <c r="B33" s="7">
        <v>46242</v>
      </c>
      <c r="C33" s="6"/>
      <c r="D33" s="6"/>
      <c r="E33" s="6" t="s">
        <v>45</v>
      </c>
      <c r="F33" s="6"/>
      <c r="G33" s="6">
        <v>200</v>
      </c>
      <c r="H33" s="6"/>
      <c r="I33" s="6"/>
      <c r="J33" s="6">
        <f t="shared" si="0"/>
        <v>35771</v>
      </c>
      <c r="K33" s="6" t="str">
        <f t="shared" si="1"/>
        <v>مقبول</v>
      </c>
      <c r="L33" s="6"/>
      <c r="M33" s="6"/>
      <c r="N33" s="6"/>
    </row>
    <row r="34" spans="1:14" x14ac:dyDescent="0.35">
      <c r="A34" s="6">
        <v>30</v>
      </c>
      <c r="B34" s="7">
        <v>46242</v>
      </c>
      <c r="C34" s="6"/>
      <c r="D34" s="6"/>
      <c r="E34" s="6" t="s">
        <v>46</v>
      </c>
      <c r="F34" s="6"/>
      <c r="G34" s="6">
        <v>100</v>
      </c>
      <c r="H34" s="6"/>
      <c r="I34" s="6"/>
      <c r="J34" s="6">
        <f t="shared" si="0"/>
        <v>35671</v>
      </c>
      <c r="K34" s="6" t="str">
        <f t="shared" si="1"/>
        <v>مقبول</v>
      </c>
      <c r="L34" s="6"/>
      <c r="M34" s="6"/>
      <c r="N34" s="6"/>
    </row>
    <row r="35" spans="1:14" x14ac:dyDescent="0.35">
      <c r="A35" s="6">
        <v>31</v>
      </c>
      <c r="B35" s="7">
        <v>46242</v>
      </c>
      <c r="C35" s="6"/>
      <c r="D35" s="6"/>
      <c r="E35" s="6" t="s">
        <v>47</v>
      </c>
      <c r="F35" s="6"/>
      <c r="G35" s="6">
        <v>460</v>
      </c>
      <c r="H35" s="6"/>
      <c r="I35" s="6"/>
      <c r="J35" s="6">
        <f t="shared" si="0"/>
        <v>35211</v>
      </c>
      <c r="K35" s="6" t="str">
        <f t="shared" si="1"/>
        <v>مقبول</v>
      </c>
      <c r="L35" s="6"/>
      <c r="M35" s="6"/>
      <c r="N35" s="6"/>
    </row>
    <row r="36" spans="1:14" x14ac:dyDescent="0.35">
      <c r="A36" s="10" t="s">
        <v>48</v>
      </c>
      <c r="B36" s="10"/>
      <c r="C36" s="10"/>
      <c r="D36" s="10"/>
      <c r="E36" s="10"/>
      <c r="F36" s="10"/>
      <c r="G36" s="10">
        <f>SUM(G4:G35)</f>
        <v>42809</v>
      </c>
      <c r="H36" s="10">
        <f>SUM(H4:H35)</f>
        <v>78020</v>
      </c>
      <c r="I36" s="10"/>
      <c r="J36" s="10"/>
      <c r="K36" s="10"/>
      <c r="L36" s="10"/>
      <c r="M36" s="10"/>
      <c r="N36" s="10"/>
    </row>
    <row r="37" spans="1:14" x14ac:dyDescent="0.35">
      <c r="J37" s="11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rightToLeft="1" zoomScaleNormal="100" workbookViewId="0">
      <selection activeCell="L32" sqref="L32"/>
    </sheetView>
  </sheetViews>
  <sheetFormatPr defaultRowHeight="14.5" customHeight="1" x14ac:dyDescent="0.35"/>
  <cols>
    <col min="1" max="1" width="13.90625" customWidth="1"/>
    <col min="2" max="2" width="9.08984375" customWidth="1"/>
    <col min="3" max="3" width="10.6328125" customWidth="1"/>
    <col min="4" max="4" width="6.90625" customWidth="1"/>
    <col min="5" max="5" width="37.453125" customWidth="1"/>
    <col min="6" max="6" width="10.6328125" customWidth="1"/>
    <col min="7" max="7" width="9.54296875" customWidth="1"/>
    <col min="8" max="8" width="8.6328125" customWidth="1"/>
    <col min="11" max="11" width="11" customWidth="1"/>
    <col min="12" max="12" width="80.08984375" customWidth="1"/>
    <col min="13" max="13" width="10.26953125" customWidth="1"/>
    <col min="14" max="14" width="10" customWidth="1"/>
  </cols>
  <sheetData>
    <row r="1" spans="1:14" ht="16.5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x14ac:dyDescent="0.35">
      <c r="A2" s="1" t="s">
        <v>1</v>
      </c>
      <c r="B2" s="2"/>
      <c r="C2" s="1" t="s">
        <v>2</v>
      </c>
      <c r="D2" s="3">
        <v>5000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</row>
    <row r="4" spans="1:14" x14ac:dyDescent="0.35">
      <c r="A4" s="12" t="s">
        <v>49</v>
      </c>
      <c r="B4" s="13"/>
      <c r="C4" s="12"/>
      <c r="D4" s="12"/>
      <c r="E4" s="14"/>
      <c r="F4" s="12"/>
      <c r="G4" s="12">
        <f>'1-A Petty Cash'!G36</f>
        <v>42809</v>
      </c>
      <c r="H4" s="12">
        <f>'1-A Petty Cash'!H36</f>
        <v>78020</v>
      </c>
      <c r="I4" s="12"/>
      <c r="J4" s="12">
        <f>C4-G4+H4</f>
        <v>35211</v>
      </c>
      <c r="K4" s="12" t="str">
        <f>IF(J4&lt;200,"تنبيه: اعد التعبئة","مقبول")</f>
        <v>مقبول</v>
      </c>
      <c r="L4" s="12"/>
      <c r="M4" s="12"/>
      <c r="N4" s="12"/>
    </row>
    <row r="5" spans="1:14" x14ac:dyDescent="0.35">
      <c r="A5" s="6">
        <v>32</v>
      </c>
      <c r="B5" s="9">
        <v>46243</v>
      </c>
      <c r="C5" s="6"/>
      <c r="D5" s="6"/>
      <c r="E5" s="8" t="s">
        <v>50</v>
      </c>
      <c r="F5" s="6"/>
      <c r="G5" s="6">
        <v>2000</v>
      </c>
      <c r="H5" s="6"/>
      <c r="I5" s="6"/>
      <c r="J5" s="6">
        <f t="shared" ref="J5:J34" si="0">J4-G5+H5</f>
        <v>33211</v>
      </c>
      <c r="K5" s="6" t="str">
        <f t="shared" ref="K5:K34" si="1">IF(J5&lt;200,"تنبيه: اعد التعبئة","مقبول")</f>
        <v>مقبول</v>
      </c>
      <c r="L5" s="6"/>
      <c r="M5" s="6"/>
      <c r="N5" s="6"/>
    </row>
    <row r="6" spans="1:14" x14ac:dyDescent="0.35">
      <c r="A6" s="6">
        <v>33</v>
      </c>
      <c r="B6" s="9">
        <v>46243</v>
      </c>
      <c r="C6" s="6"/>
      <c r="D6" s="6"/>
      <c r="E6" s="6" t="s">
        <v>51</v>
      </c>
      <c r="F6" s="6"/>
      <c r="G6" s="6">
        <v>200</v>
      </c>
      <c r="H6" s="6"/>
      <c r="I6" s="6"/>
      <c r="J6" s="6">
        <f t="shared" si="0"/>
        <v>33011</v>
      </c>
      <c r="K6" s="6" t="str">
        <f t="shared" si="1"/>
        <v>مقبول</v>
      </c>
      <c r="L6" s="6"/>
      <c r="M6" s="6"/>
      <c r="N6" s="6"/>
    </row>
    <row r="7" spans="1:14" x14ac:dyDescent="0.35">
      <c r="A7" s="6">
        <v>34</v>
      </c>
      <c r="B7" s="9">
        <v>46243</v>
      </c>
      <c r="C7" s="6"/>
      <c r="D7" s="6"/>
      <c r="E7" s="8" t="s">
        <v>52</v>
      </c>
      <c r="F7" s="6"/>
      <c r="G7" s="6">
        <v>140</v>
      </c>
      <c r="H7" s="6"/>
      <c r="I7" s="6"/>
      <c r="J7" s="6">
        <f t="shared" si="0"/>
        <v>32871</v>
      </c>
      <c r="K7" s="6" t="str">
        <f t="shared" si="1"/>
        <v>مقبول</v>
      </c>
      <c r="L7" s="6"/>
      <c r="M7" s="6"/>
      <c r="N7" s="6"/>
    </row>
    <row r="8" spans="1:14" x14ac:dyDescent="0.35">
      <c r="A8" s="6">
        <v>35</v>
      </c>
      <c r="B8" s="9">
        <v>46243</v>
      </c>
      <c r="C8" s="6"/>
      <c r="D8" s="6"/>
      <c r="E8" s="8" t="s">
        <v>53</v>
      </c>
      <c r="F8" s="6"/>
      <c r="G8" s="6">
        <v>60</v>
      </c>
      <c r="H8" s="6"/>
      <c r="I8" s="6"/>
      <c r="J8" s="6">
        <f t="shared" si="0"/>
        <v>32811</v>
      </c>
      <c r="K8" s="6" t="str">
        <f t="shared" si="1"/>
        <v>مقبول</v>
      </c>
      <c r="L8" s="6"/>
      <c r="M8" s="6"/>
      <c r="N8" s="6"/>
    </row>
    <row r="9" spans="1:14" x14ac:dyDescent="0.35">
      <c r="A9" s="6">
        <v>36</v>
      </c>
      <c r="B9" s="9">
        <v>46244</v>
      </c>
      <c r="C9" s="6"/>
      <c r="D9" s="6"/>
      <c r="E9" s="8" t="s">
        <v>54</v>
      </c>
      <c r="F9" s="6"/>
      <c r="G9" s="6">
        <v>32241</v>
      </c>
      <c r="H9" s="6"/>
      <c r="I9" s="6"/>
      <c r="J9" s="6">
        <f t="shared" si="0"/>
        <v>570</v>
      </c>
      <c r="K9" s="6" t="str">
        <f t="shared" si="1"/>
        <v>مقبول</v>
      </c>
      <c r="L9" s="6"/>
      <c r="M9" s="6"/>
      <c r="N9" s="6"/>
    </row>
    <row r="10" spans="1:14" x14ac:dyDescent="0.35">
      <c r="A10" s="6">
        <v>37</v>
      </c>
      <c r="B10" s="9">
        <v>46244</v>
      </c>
      <c r="C10" s="6"/>
      <c r="D10" s="6"/>
      <c r="E10" s="8" t="s">
        <v>55</v>
      </c>
      <c r="F10" s="6"/>
      <c r="G10" s="6"/>
      <c r="H10" s="6">
        <v>7000</v>
      </c>
      <c r="I10" s="6"/>
      <c r="J10" s="6">
        <f t="shared" si="0"/>
        <v>7570</v>
      </c>
      <c r="K10" s="6" t="str">
        <f t="shared" si="1"/>
        <v>مقبول</v>
      </c>
      <c r="L10" s="6"/>
      <c r="M10" s="6"/>
      <c r="N10" s="6"/>
    </row>
    <row r="11" spans="1:14" x14ac:dyDescent="0.35">
      <c r="A11" s="6">
        <v>38</v>
      </c>
      <c r="B11" s="9">
        <v>46244</v>
      </c>
      <c r="C11" s="6"/>
      <c r="D11" s="6"/>
      <c r="E11" s="8" t="s">
        <v>56</v>
      </c>
      <c r="F11" s="6"/>
      <c r="G11" s="6">
        <v>700</v>
      </c>
      <c r="H11" s="6"/>
      <c r="I11" s="6"/>
      <c r="J11" s="6">
        <f t="shared" si="0"/>
        <v>6870</v>
      </c>
      <c r="K11" s="6" t="str">
        <f t="shared" si="1"/>
        <v>مقبول</v>
      </c>
      <c r="L11" s="6"/>
      <c r="M11" s="6"/>
      <c r="N11" s="6"/>
    </row>
    <row r="12" spans="1:14" x14ac:dyDescent="0.35">
      <c r="A12" s="6">
        <v>39</v>
      </c>
      <c r="B12" s="9">
        <v>46244</v>
      </c>
      <c r="C12" s="6"/>
      <c r="D12" s="6"/>
      <c r="E12" s="8" t="s">
        <v>57</v>
      </c>
      <c r="F12" s="6"/>
      <c r="G12" s="6"/>
      <c r="H12" s="6">
        <v>1200</v>
      </c>
      <c r="I12" s="6"/>
      <c r="J12" s="6">
        <f>J11-G12+H12</f>
        <v>8070</v>
      </c>
      <c r="K12" s="6" t="str">
        <f t="shared" si="1"/>
        <v>مقبول</v>
      </c>
      <c r="L12" s="6"/>
      <c r="M12" s="6"/>
      <c r="N12" s="6"/>
    </row>
    <row r="13" spans="1:14" x14ac:dyDescent="0.35">
      <c r="A13" s="6">
        <v>40</v>
      </c>
      <c r="B13" s="9">
        <v>46244</v>
      </c>
      <c r="C13" s="6"/>
      <c r="D13" s="6"/>
      <c r="E13" s="8" t="s">
        <v>58</v>
      </c>
      <c r="F13" s="6"/>
      <c r="G13" s="6">
        <v>200</v>
      </c>
      <c r="H13" s="6"/>
      <c r="I13" s="6"/>
      <c r="J13" s="6">
        <f t="shared" si="0"/>
        <v>7870</v>
      </c>
      <c r="K13" s="6" t="str">
        <f t="shared" si="1"/>
        <v>مقبول</v>
      </c>
      <c r="L13" s="6"/>
      <c r="M13" s="6"/>
      <c r="N13" s="6"/>
    </row>
    <row r="14" spans="1:14" x14ac:dyDescent="0.35">
      <c r="A14" s="6">
        <v>41</v>
      </c>
      <c r="B14" s="9">
        <v>46245</v>
      </c>
      <c r="C14" s="6"/>
      <c r="D14" s="6"/>
      <c r="E14" s="6" t="s">
        <v>59</v>
      </c>
      <c r="F14" s="6"/>
      <c r="G14" s="6">
        <v>765</v>
      </c>
      <c r="H14" s="6"/>
      <c r="I14" s="6"/>
      <c r="J14" s="6">
        <f t="shared" si="0"/>
        <v>7105</v>
      </c>
      <c r="K14" s="6" t="str">
        <f t="shared" si="1"/>
        <v>مقبول</v>
      </c>
      <c r="L14" s="6"/>
      <c r="M14" s="6"/>
      <c r="N14" s="6"/>
    </row>
    <row r="15" spans="1:14" x14ac:dyDescent="0.35">
      <c r="A15" s="6">
        <v>42</v>
      </c>
      <c r="B15" s="9">
        <v>46245</v>
      </c>
      <c r="C15" s="6"/>
      <c r="D15" s="6"/>
      <c r="E15" s="6" t="s">
        <v>60</v>
      </c>
      <c r="F15" s="6"/>
      <c r="G15" s="6">
        <v>100</v>
      </c>
      <c r="H15" s="6"/>
      <c r="I15" s="6"/>
      <c r="J15" s="6">
        <f t="shared" si="0"/>
        <v>7005</v>
      </c>
      <c r="K15" s="6" t="str">
        <f t="shared" si="1"/>
        <v>مقبول</v>
      </c>
      <c r="L15" s="6"/>
      <c r="M15" s="6"/>
      <c r="N15" s="6"/>
    </row>
    <row r="16" spans="1:14" x14ac:dyDescent="0.35">
      <c r="A16" s="6">
        <v>43</v>
      </c>
      <c r="B16" s="9">
        <v>46246</v>
      </c>
      <c r="C16" s="6"/>
      <c r="D16" s="6"/>
      <c r="E16" s="6" t="s">
        <v>61</v>
      </c>
      <c r="F16" s="6"/>
      <c r="G16" s="6">
        <v>480</v>
      </c>
      <c r="H16" s="6"/>
      <c r="I16" s="6"/>
      <c r="J16" s="6">
        <f t="shared" si="0"/>
        <v>6525</v>
      </c>
      <c r="K16" s="6" t="str">
        <f t="shared" si="1"/>
        <v>مقبول</v>
      </c>
      <c r="L16" s="6"/>
      <c r="M16" s="6"/>
      <c r="N16" s="6"/>
    </row>
    <row r="17" spans="1:14" x14ac:dyDescent="0.35">
      <c r="A17" s="6">
        <v>44</v>
      </c>
      <c r="B17" s="9">
        <v>46246</v>
      </c>
      <c r="C17" s="6"/>
      <c r="D17" s="6"/>
      <c r="E17" s="6" t="s">
        <v>62</v>
      </c>
      <c r="F17" s="6"/>
      <c r="G17" s="6">
        <v>200</v>
      </c>
      <c r="H17" s="6"/>
      <c r="I17" s="6"/>
      <c r="J17" s="6">
        <f t="shared" si="0"/>
        <v>6325</v>
      </c>
      <c r="K17" s="6" t="str">
        <f t="shared" si="1"/>
        <v>مقبول</v>
      </c>
      <c r="L17" s="6" t="s">
        <v>63</v>
      </c>
      <c r="M17" s="6"/>
      <c r="N17" s="6"/>
    </row>
    <row r="18" spans="1:14" x14ac:dyDescent="0.35">
      <c r="A18" s="6">
        <v>45</v>
      </c>
      <c r="B18" s="9">
        <v>46246</v>
      </c>
      <c r="C18" s="6"/>
      <c r="D18" s="6"/>
      <c r="E18" s="6" t="s">
        <v>64</v>
      </c>
      <c r="F18" s="6"/>
      <c r="G18" s="6"/>
      <c r="H18" s="6">
        <v>10000</v>
      </c>
      <c r="I18" s="6"/>
      <c r="J18" s="6">
        <f t="shared" si="0"/>
        <v>16325</v>
      </c>
      <c r="K18" s="6" t="str">
        <f t="shared" si="1"/>
        <v>مقبول</v>
      </c>
      <c r="L18" s="6"/>
      <c r="M18" s="6"/>
      <c r="N18" s="6"/>
    </row>
    <row r="19" spans="1:14" x14ac:dyDescent="0.35">
      <c r="A19" s="6">
        <v>46</v>
      </c>
      <c r="B19" s="9">
        <v>46246</v>
      </c>
      <c r="C19" s="6"/>
      <c r="D19" s="6"/>
      <c r="E19" s="6" t="s">
        <v>65</v>
      </c>
      <c r="F19" s="6"/>
      <c r="G19" s="6">
        <v>6830</v>
      </c>
      <c r="H19" s="6"/>
      <c r="I19" s="6"/>
      <c r="J19" s="6">
        <f t="shared" si="0"/>
        <v>9495</v>
      </c>
      <c r="K19" s="6" t="str">
        <f t="shared" si="1"/>
        <v>مقبول</v>
      </c>
      <c r="L19" t="s">
        <v>66</v>
      </c>
      <c r="M19" s="6"/>
      <c r="N19" s="6"/>
    </row>
    <row r="20" spans="1:14" x14ac:dyDescent="0.35">
      <c r="A20" s="6">
        <v>47</v>
      </c>
      <c r="B20" s="9">
        <v>46246</v>
      </c>
      <c r="C20" s="6"/>
      <c r="D20" s="6"/>
      <c r="E20" s="6" t="s">
        <v>67</v>
      </c>
      <c r="F20" s="6"/>
      <c r="G20" s="6"/>
      <c r="H20" s="6">
        <v>215</v>
      </c>
      <c r="I20" s="6"/>
      <c r="J20" s="6">
        <f t="shared" si="0"/>
        <v>9710</v>
      </c>
      <c r="K20" s="6" t="str">
        <f t="shared" si="1"/>
        <v>مقبول</v>
      </c>
      <c r="L20" s="6"/>
      <c r="M20" s="6"/>
      <c r="N20" s="6"/>
    </row>
    <row r="21" spans="1:14" x14ac:dyDescent="0.35">
      <c r="A21" s="6">
        <v>48</v>
      </c>
      <c r="B21" s="9">
        <v>46246</v>
      </c>
      <c r="C21" s="6"/>
      <c r="D21" s="6"/>
      <c r="E21" s="6" t="s">
        <v>68</v>
      </c>
      <c r="F21" s="6"/>
      <c r="G21" s="6"/>
      <c r="H21" s="6">
        <v>260</v>
      </c>
      <c r="I21" s="6"/>
      <c r="J21" s="6">
        <f t="shared" si="0"/>
        <v>9970</v>
      </c>
      <c r="K21" s="6" t="str">
        <f t="shared" si="1"/>
        <v>مقبول</v>
      </c>
      <c r="L21" s="6"/>
      <c r="M21" s="6"/>
      <c r="N21" s="6"/>
    </row>
    <row r="22" spans="1:14" x14ac:dyDescent="0.35">
      <c r="A22" s="6">
        <v>49</v>
      </c>
      <c r="B22" s="9">
        <v>46246</v>
      </c>
      <c r="C22" s="6"/>
      <c r="D22" s="6"/>
      <c r="E22" s="6" t="s">
        <v>69</v>
      </c>
      <c r="F22" s="6"/>
      <c r="G22" s="6">
        <v>5250</v>
      </c>
      <c r="H22" s="6"/>
      <c r="I22" s="6"/>
      <c r="J22" s="6">
        <f t="shared" si="0"/>
        <v>4720</v>
      </c>
      <c r="K22" s="6" t="str">
        <f t="shared" si="1"/>
        <v>مقبول</v>
      </c>
      <c r="L22" s="6" t="s">
        <v>70</v>
      </c>
      <c r="M22" s="6"/>
      <c r="N22" s="6"/>
    </row>
    <row r="23" spans="1:14" x14ac:dyDescent="0.35">
      <c r="A23" s="6">
        <v>50</v>
      </c>
      <c r="B23" s="9">
        <v>46246</v>
      </c>
      <c r="C23" s="6"/>
      <c r="D23" s="6"/>
      <c r="E23" s="6" t="s">
        <v>71</v>
      </c>
      <c r="F23" s="6"/>
      <c r="G23" s="6">
        <v>5300</v>
      </c>
      <c r="H23" s="6"/>
      <c r="I23" s="6"/>
      <c r="J23" s="6">
        <f t="shared" si="0"/>
        <v>-580</v>
      </c>
      <c r="K23" s="6" t="str">
        <f t="shared" si="1"/>
        <v>تنبيه: اعد التعبئة</v>
      </c>
      <c r="L23" s="6" t="s">
        <v>70</v>
      </c>
      <c r="M23" s="6"/>
      <c r="N23" s="6"/>
    </row>
    <row r="24" spans="1:14" x14ac:dyDescent="0.35">
      <c r="A24" s="6">
        <v>51</v>
      </c>
      <c r="B24" s="9">
        <v>46246</v>
      </c>
      <c r="C24" s="6"/>
      <c r="D24" s="6"/>
      <c r="E24" s="6" t="s">
        <v>72</v>
      </c>
      <c r="F24" s="6"/>
      <c r="G24" s="6"/>
      <c r="H24" s="6">
        <v>10550</v>
      </c>
      <c r="I24" s="6"/>
      <c r="J24" s="6">
        <f t="shared" si="0"/>
        <v>9970</v>
      </c>
      <c r="K24" s="6" t="str">
        <f t="shared" si="1"/>
        <v>مقبول</v>
      </c>
      <c r="L24" s="6" t="s">
        <v>73</v>
      </c>
      <c r="M24" s="6"/>
      <c r="N24" s="6"/>
    </row>
    <row r="25" spans="1:14" x14ac:dyDescent="0.35">
      <c r="A25" s="6">
        <v>52</v>
      </c>
      <c r="B25" s="9">
        <v>46246</v>
      </c>
      <c r="C25" s="6"/>
      <c r="D25" s="6"/>
      <c r="E25" s="6" t="s">
        <v>74</v>
      </c>
      <c r="F25" s="6"/>
      <c r="G25" s="6">
        <v>100</v>
      </c>
      <c r="H25" s="6"/>
      <c r="I25" s="6"/>
      <c r="J25" s="6">
        <f t="shared" si="0"/>
        <v>9870</v>
      </c>
      <c r="K25" s="6" t="str">
        <f t="shared" si="1"/>
        <v>مقبول</v>
      </c>
      <c r="L25" s="6"/>
      <c r="M25" s="6"/>
      <c r="N25" s="6"/>
    </row>
    <row r="26" spans="1:14" x14ac:dyDescent="0.35">
      <c r="A26" s="6">
        <v>53</v>
      </c>
      <c r="B26" s="9">
        <v>46246</v>
      </c>
      <c r="C26" s="6"/>
      <c r="D26" s="6"/>
      <c r="E26" s="6" t="s">
        <v>60</v>
      </c>
      <c r="F26" s="6"/>
      <c r="G26" s="6">
        <v>200</v>
      </c>
      <c r="H26" s="6"/>
      <c r="I26" s="6"/>
      <c r="J26" s="6">
        <f t="shared" si="0"/>
        <v>9670</v>
      </c>
      <c r="K26" s="6" t="str">
        <f t="shared" si="1"/>
        <v>مقبول</v>
      </c>
      <c r="L26" s="6"/>
      <c r="M26" s="6"/>
      <c r="N26" s="6"/>
    </row>
    <row r="27" spans="1:14" x14ac:dyDescent="0.35">
      <c r="A27" s="6">
        <v>54</v>
      </c>
      <c r="B27" s="9">
        <v>46246</v>
      </c>
      <c r="C27" s="6"/>
      <c r="D27" s="6"/>
      <c r="E27" s="6" t="s">
        <v>75</v>
      </c>
      <c r="F27" s="6"/>
      <c r="G27" s="6">
        <v>270</v>
      </c>
      <c r="H27" s="6"/>
      <c r="I27" s="6"/>
      <c r="J27" s="6">
        <f t="shared" si="0"/>
        <v>9400</v>
      </c>
      <c r="K27" s="6" t="str">
        <f t="shared" si="1"/>
        <v>مقبول</v>
      </c>
      <c r="L27" s="6"/>
      <c r="M27" s="6"/>
      <c r="N27" s="6"/>
    </row>
    <row r="28" spans="1:14" x14ac:dyDescent="0.35">
      <c r="A28" s="6">
        <v>55</v>
      </c>
      <c r="B28" s="9">
        <v>46246</v>
      </c>
      <c r="C28" s="6"/>
      <c r="D28" s="6"/>
      <c r="E28" s="6" t="s">
        <v>76</v>
      </c>
      <c r="F28" s="6"/>
      <c r="G28" s="6">
        <v>70</v>
      </c>
      <c r="H28" s="6"/>
      <c r="I28" s="6"/>
      <c r="J28" s="6">
        <f t="shared" si="0"/>
        <v>9330</v>
      </c>
      <c r="K28" s="6" t="str">
        <f t="shared" si="1"/>
        <v>مقبول</v>
      </c>
      <c r="L28" s="6"/>
      <c r="M28" s="6"/>
      <c r="N28" s="6"/>
    </row>
    <row r="29" spans="1:14" x14ac:dyDescent="0.35">
      <c r="A29" s="6">
        <v>56</v>
      </c>
      <c r="B29" s="9">
        <v>46246</v>
      </c>
      <c r="C29" s="6"/>
      <c r="D29" s="6"/>
      <c r="E29" s="6" t="s">
        <v>77</v>
      </c>
      <c r="F29" s="6"/>
      <c r="G29" s="6">
        <v>65</v>
      </c>
      <c r="H29" s="6"/>
      <c r="I29" s="6"/>
      <c r="J29" s="6">
        <f t="shared" si="0"/>
        <v>9265</v>
      </c>
      <c r="K29" s="6" t="str">
        <f t="shared" si="1"/>
        <v>مقبول</v>
      </c>
      <c r="L29" s="6"/>
      <c r="M29" s="6"/>
      <c r="N29" s="6"/>
    </row>
    <row r="30" spans="1:14" x14ac:dyDescent="0.35">
      <c r="A30" s="6">
        <v>57</v>
      </c>
      <c r="B30" s="9">
        <v>46247</v>
      </c>
      <c r="C30" s="6"/>
      <c r="D30" s="6"/>
      <c r="E30" s="6" t="s">
        <v>78</v>
      </c>
      <c r="F30" s="6"/>
      <c r="G30" s="6"/>
      <c r="H30" s="6">
        <v>50170</v>
      </c>
      <c r="I30" s="6"/>
      <c r="J30" s="6">
        <f t="shared" si="0"/>
        <v>59435</v>
      </c>
      <c r="K30" s="6" t="str">
        <f t="shared" si="1"/>
        <v>مقبول</v>
      </c>
      <c r="L30" s="6" t="s">
        <v>79</v>
      </c>
      <c r="M30" s="6"/>
      <c r="N30" s="6"/>
    </row>
    <row r="31" spans="1:14" x14ac:dyDescent="0.35">
      <c r="A31" s="6">
        <v>58</v>
      </c>
      <c r="B31" s="9">
        <v>46248</v>
      </c>
      <c r="C31" s="6"/>
      <c r="D31" s="6"/>
      <c r="E31" s="6" t="s">
        <v>80</v>
      </c>
      <c r="F31" s="6"/>
      <c r="G31" s="6">
        <v>17305</v>
      </c>
      <c r="H31" s="6"/>
      <c r="I31" s="6"/>
      <c r="J31" s="6">
        <f t="shared" si="0"/>
        <v>42130</v>
      </c>
      <c r="K31" s="6" t="str">
        <f t="shared" si="1"/>
        <v>مقبول</v>
      </c>
      <c r="L31" s="6"/>
      <c r="M31" s="6"/>
      <c r="N31" s="6"/>
    </row>
    <row r="32" spans="1:14" x14ac:dyDescent="0.35">
      <c r="A32" s="6">
        <v>59</v>
      </c>
      <c r="B32" s="9">
        <v>46247</v>
      </c>
      <c r="C32" s="6"/>
      <c r="D32" s="6"/>
      <c r="E32" s="6" t="s">
        <v>81</v>
      </c>
      <c r="F32" s="6"/>
      <c r="G32" s="6">
        <v>1000</v>
      </c>
      <c r="H32" s="6"/>
      <c r="I32" s="6"/>
      <c r="J32" s="6">
        <f t="shared" si="0"/>
        <v>41130</v>
      </c>
      <c r="K32" s="6" t="str">
        <f t="shared" si="1"/>
        <v>مقبول</v>
      </c>
      <c r="L32" s="6"/>
      <c r="M32" s="6"/>
      <c r="N32" s="6"/>
    </row>
    <row r="33" spans="1:14" x14ac:dyDescent="0.35">
      <c r="A33" s="6">
        <v>60</v>
      </c>
      <c r="B33" s="9">
        <v>46248</v>
      </c>
      <c r="C33" s="6"/>
      <c r="D33" s="6"/>
      <c r="E33" s="6" t="s">
        <v>82</v>
      </c>
      <c r="F33" s="6"/>
      <c r="G33" s="6">
        <v>500</v>
      </c>
      <c r="H33" s="6"/>
      <c r="I33" s="6"/>
      <c r="J33" s="6">
        <f t="shared" si="0"/>
        <v>40630</v>
      </c>
      <c r="K33" s="6" t="str">
        <f t="shared" si="1"/>
        <v>مقبول</v>
      </c>
      <c r="L33" s="6"/>
      <c r="M33" s="6"/>
      <c r="N33" s="6"/>
    </row>
    <row r="34" spans="1:14" x14ac:dyDescent="0.35">
      <c r="A34" s="6">
        <v>62</v>
      </c>
      <c r="B34" s="7"/>
      <c r="C34" s="6"/>
      <c r="D34" s="6"/>
      <c r="E34" s="6" t="s">
        <v>83</v>
      </c>
      <c r="F34" s="6"/>
      <c r="G34" s="6">
        <v>3900</v>
      </c>
      <c r="H34" s="6"/>
      <c r="I34" s="6"/>
      <c r="J34" s="6">
        <f t="shared" si="0"/>
        <v>36730</v>
      </c>
      <c r="K34" s="6" t="str">
        <f t="shared" si="1"/>
        <v>مقبول</v>
      </c>
      <c r="L34" s="6"/>
      <c r="M34" s="6"/>
      <c r="N34" s="6"/>
    </row>
    <row r="35" spans="1:14" x14ac:dyDescent="0.35">
      <c r="A35" s="10" t="s">
        <v>48</v>
      </c>
      <c r="B35" s="10"/>
      <c r="C35" s="10"/>
      <c r="D35" s="10"/>
      <c r="E35" s="10"/>
      <c r="F35" s="10"/>
      <c r="G35" s="10">
        <f>SUM(G4:G34)</f>
        <v>120685</v>
      </c>
      <c r="H35" s="10">
        <f>SUM(H4:H34)</f>
        <v>157415</v>
      </c>
      <c r="I35" s="10"/>
      <c r="J35" s="10"/>
      <c r="K35" s="10"/>
      <c r="L35" s="10"/>
      <c r="M35" s="10"/>
      <c r="N35" s="10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rightToLeft="1" tabSelected="1" zoomScaleNormal="100" workbookViewId="0">
      <selection activeCell="H37" sqref="H37"/>
    </sheetView>
  </sheetViews>
  <sheetFormatPr defaultRowHeight="14.5" customHeight="1" x14ac:dyDescent="0.35"/>
  <cols>
    <col min="1" max="1" width="13.90625" customWidth="1"/>
    <col min="2" max="2" width="9.08984375" customWidth="1"/>
    <col min="3" max="3" width="10.6328125" customWidth="1"/>
    <col min="4" max="4" width="6.90625" customWidth="1"/>
    <col min="5" max="5" width="37.453125" customWidth="1"/>
    <col min="6" max="6" width="10.6328125" customWidth="1"/>
    <col min="7" max="7" width="9.54296875" customWidth="1"/>
    <col min="8" max="8" width="8.6328125" customWidth="1"/>
    <col min="11" max="11" width="11" customWidth="1"/>
    <col min="12" max="12" width="80.08984375" customWidth="1"/>
    <col min="13" max="13" width="10.26953125" customWidth="1"/>
    <col min="14" max="14" width="10" customWidth="1"/>
  </cols>
  <sheetData>
    <row r="1" spans="1:14" ht="16.5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x14ac:dyDescent="0.35">
      <c r="A2" s="1" t="s">
        <v>1</v>
      </c>
      <c r="B2" s="2"/>
      <c r="C2" s="1" t="s">
        <v>2</v>
      </c>
      <c r="D2" s="3">
        <v>5000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</row>
    <row r="4" spans="1:14" x14ac:dyDescent="0.35">
      <c r="A4" s="12" t="s">
        <v>49</v>
      </c>
      <c r="B4" s="13"/>
      <c r="C4" s="12"/>
      <c r="D4" s="12"/>
      <c r="E4" s="14"/>
      <c r="F4" s="12"/>
      <c r="G4" s="12">
        <f>'1-A Petty Cash'!G36</f>
        <v>42809</v>
      </c>
      <c r="H4" s="12">
        <f>'1-A Petty Cash'!H36</f>
        <v>78020</v>
      </c>
      <c r="I4" s="12"/>
      <c r="J4" s="12">
        <f>C4-G4+H4</f>
        <v>35211</v>
      </c>
      <c r="K4" s="12" t="str">
        <f t="shared" ref="K4:K34" si="0">IF(J4&lt;200,"تنبيه: اعد التعبئة","مقبول")</f>
        <v>مقبول</v>
      </c>
      <c r="L4" s="12"/>
      <c r="M4" s="12"/>
      <c r="N4" s="12"/>
    </row>
    <row r="5" spans="1:14" x14ac:dyDescent="0.35">
      <c r="A5" s="6">
        <v>63</v>
      </c>
      <c r="B5" s="9">
        <v>46247</v>
      </c>
      <c r="C5" s="6"/>
      <c r="D5" s="6"/>
      <c r="E5" s="8" t="s">
        <v>84</v>
      </c>
      <c r="F5" s="6"/>
      <c r="G5" s="6">
        <v>410</v>
      </c>
      <c r="H5" s="6"/>
      <c r="I5" s="6"/>
      <c r="J5" s="6">
        <f t="shared" ref="J5:J34" si="1">J4-G5+H5</f>
        <v>34801</v>
      </c>
      <c r="K5" s="6" t="str">
        <f t="shared" si="0"/>
        <v>مقبول</v>
      </c>
      <c r="L5" s="6"/>
      <c r="M5" s="6"/>
      <c r="N5" s="6"/>
    </row>
    <row r="6" spans="1:14" x14ac:dyDescent="0.35">
      <c r="A6" s="6">
        <v>64</v>
      </c>
      <c r="B6" s="9">
        <v>46247</v>
      </c>
      <c r="C6" s="6"/>
      <c r="D6" s="6"/>
      <c r="E6" s="6" t="s">
        <v>85</v>
      </c>
      <c r="F6" s="6"/>
      <c r="G6" s="6">
        <v>85</v>
      </c>
      <c r="H6" s="6"/>
      <c r="I6" s="6"/>
      <c r="J6" s="6">
        <f t="shared" si="1"/>
        <v>34716</v>
      </c>
      <c r="K6" s="6" t="str">
        <f t="shared" si="0"/>
        <v>مقبول</v>
      </c>
      <c r="L6" s="6"/>
      <c r="M6" s="6"/>
      <c r="N6" s="6"/>
    </row>
    <row r="7" spans="1:14" x14ac:dyDescent="0.35">
      <c r="A7" s="6">
        <v>65</v>
      </c>
      <c r="B7" s="9">
        <v>46248</v>
      </c>
      <c r="C7" s="6"/>
      <c r="D7" s="6"/>
      <c r="E7" s="8" t="s">
        <v>86</v>
      </c>
      <c r="F7" s="6"/>
      <c r="G7" s="6">
        <v>200</v>
      </c>
      <c r="H7" s="6"/>
      <c r="I7" s="6"/>
      <c r="J7" s="6">
        <f t="shared" si="1"/>
        <v>34516</v>
      </c>
      <c r="K7" s="6" t="str">
        <f t="shared" si="0"/>
        <v>مقبول</v>
      </c>
      <c r="L7" s="6"/>
      <c r="M7" s="6"/>
      <c r="N7" s="6"/>
    </row>
    <row r="8" spans="1:14" x14ac:dyDescent="0.35">
      <c r="A8" s="6">
        <v>66</v>
      </c>
      <c r="B8" s="9">
        <v>46248</v>
      </c>
      <c r="C8" s="6"/>
      <c r="D8" s="6"/>
      <c r="E8" s="8" t="s">
        <v>87</v>
      </c>
      <c r="F8" s="6"/>
      <c r="G8" s="6">
        <v>1000</v>
      </c>
      <c r="H8" s="6"/>
      <c r="I8" s="6"/>
      <c r="J8" s="6">
        <f t="shared" si="1"/>
        <v>33516</v>
      </c>
      <c r="K8" s="6" t="str">
        <f t="shared" si="0"/>
        <v>مقبول</v>
      </c>
      <c r="L8" s="6"/>
      <c r="M8" s="6"/>
      <c r="N8" s="6"/>
    </row>
    <row r="9" spans="1:14" x14ac:dyDescent="0.35">
      <c r="A9" s="6">
        <v>67</v>
      </c>
      <c r="B9" s="9">
        <v>46248</v>
      </c>
      <c r="C9" s="6"/>
      <c r="D9" s="6"/>
      <c r="E9" s="8" t="s">
        <v>88</v>
      </c>
      <c r="F9" s="6"/>
      <c r="G9" s="6">
        <v>350</v>
      </c>
      <c r="H9" s="6"/>
      <c r="I9" s="6"/>
      <c r="J9" s="6">
        <f t="shared" si="1"/>
        <v>33166</v>
      </c>
      <c r="K9" s="6" t="str">
        <f t="shared" si="0"/>
        <v>مقبول</v>
      </c>
      <c r="L9" s="6"/>
      <c r="M9" s="6"/>
      <c r="N9" s="6"/>
    </row>
    <row r="10" spans="1:14" x14ac:dyDescent="0.35">
      <c r="A10" s="6">
        <v>68</v>
      </c>
      <c r="B10" s="9">
        <v>46248</v>
      </c>
      <c r="C10" s="6"/>
      <c r="D10" s="6"/>
      <c r="E10" s="8" t="s">
        <v>89</v>
      </c>
      <c r="F10" s="6"/>
      <c r="G10" s="6">
        <v>2500</v>
      </c>
      <c r="H10" s="6"/>
      <c r="I10" s="6"/>
      <c r="J10" s="6">
        <f t="shared" si="1"/>
        <v>30666</v>
      </c>
      <c r="K10" s="6" t="str">
        <f t="shared" si="0"/>
        <v>مقبول</v>
      </c>
      <c r="L10" s="6" t="s">
        <v>90</v>
      </c>
      <c r="M10" s="6"/>
      <c r="N10" s="6"/>
    </row>
    <row r="11" spans="1:14" x14ac:dyDescent="0.35">
      <c r="A11" s="6">
        <v>69</v>
      </c>
      <c r="B11" s="9">
        <v>46248</v>
      </c>
      <c r="C11" s="6"/>
      <c r="D11" s="6"/>
      <c r="E11" s="8" t="s">
        <v>91</v>
      </c>
      <c r="F11" s="6"/>
      <c r="G11" s="6">
        <v>1000</v>
      </c>
      <c r="H11" s="6"/>
      <c r="I11" s="6"/>
      <c r="J11" s="6">
        <f t="shared" si="1"/>
        <v>29666</v>
      </c>
      <c r="K11" s="6" t="str">
        <f t="shared" si="0"/>
        <v>مقبول</v>
      </c>
      <c r="L11" s="6" t="s">
        <v>92</v>
      </c>
      <c r="M11" s="6"/>
      <c r="N11" s="6"/>
    </row>
    <row r="12" spans="1:14" x14ac:dyDescent="0.35">
      <c r="A12" s="6">
        <v>70</v>
      </c>
      <c r="B12" s="9">
        <v>46249</v>
      </c>
      <c r="C12" s="6"/>
      <c r="D12" s="6"/>
      <c r="E12" s="8" t="s">
        <v>93</v>
      </c>
      <c r="F12" s="6"/>
      <c r="G12" s="6">
        <v>650</v>
      </c>
      <c r="H12" s="6"/>
      <c r="I12" s="6"/>
      <c r="J12" s="6">
        <f t="shared" si="1"/>
        <v>29016</v>
      </c>
      <c r="K12" s="6" t="str">
        <f t="shared" si="0"/>
        <v>مقبول</v>
      </c>
      <c r="L12" s="6"/>
      <c r="M12" s="6"/>
      <c r="N12" s="6"/>
    </row>
    <row r="13" spans="1:14" x14ac:dyDescent="0.35">
      <c r="A13" s="6">
        <v>71</v>
      </c>
      <c r="B13" s="9">
        <v>46250</v>
      </c>
      <c r="C13" s="6"/>
      <c r="D13" s="6"/>
      <c r="E13" s="8" t="s">
        <v>94</v>
      </c>
      <c r="F13" s="6"/>
      <c r="G13" s="6"/>
      <c r="H13" s="6">
        <v>120000</v>
      </c>
      <c r="I13" s="6"/>
      <c r="J13" s="6">
        <f t="shared" si="1"/>
        <v>149016</v>
      </c>
      <c r="K13" s="6" t="str">
        <f t="shared" si="0"/>
        <v>مقبول</v>
      </c>
      <c r="L13" s="6"/>
      <c r="M13" s="6"/>
      <c r="N13" s="6"/>
    </row>
    <row r="14" spans="1:14" x14ac:dyDescent="0.35">
      <c r="A14" s="6">
        <v>72</v>
      </c>
      <c r="B14" s="9">
        <v>46250</v>
      </c>
      <c r="C14" s="6"/>
      <c r="D14" s="6"/>
      <c r="E14" s="6" t="s">
        <v>95</v>
      </c>
      <c r="F14" s="6"/>
      <c r="G14" s="6"/>
      <c r="H14" s="6">
        <v>130520</v>
      </c>
      <c r="I14" s="6"/>
      <c r="J14" s="6">
        <f t="shared" si="1"/>
        <v>279536</v>
      </c>
      <c r="K14" s="6" t="str">
        <f t="shared" si="0"/>
        <v>مقبول</v>
      </c>
      <c r="L14" s="6"/>
      <c r="M14" s="6"/>
      <c r="N14" s="6"/>
    </row>
    <row r="15" spans="1:14" x14ac:dyDescent="0.35">
      <c r="A15" s="6">
        <v>73</v>
      </c>
      <c r="B15" s="9">
        <v>46250</v>
      </c>
      <c r="C15" s="6"/>
      <c r="D15" s="6"/>
      <c r="E15" s="6" t="s">
        <v>96</v>
      </c>
      <c r="F15" s="6"/>
      <c r="G15" s="6">
        <v>390</v>
      </c>
      <c r="H15" s="6"/>
      <c r="I15" s="6"/>
      <c r="J15" s="6">
        <f t="shared" si="1"/>
        <v>279146</v>
      </c>
      <c r="K15" s="6" t="str">
        <f t="shared" si="0"/>
        <v>مقبول</v>
      </c>
      <c r="L15" s="6"/>
      <c r="M15" s="6"/>
      <c r="N15" s="6"/>
    </row>
    <row r="16" spans="1:14" x14ac:dyDescent="0.35">
      <c r="A16" s="6">
        <v>74</v>
      </c>
      <c r="B16" s="9">
        <v>46251</v>
      </c>
      <c r="C16" s="6"/>
      <c r="D16" s="6"/>
      <c r="E16" s="6" t="s">
        <v>97</v>
      </c>
      <c r="F16" s="6"/>
      <c r="G16" s="6"/>
      <c r="H16" s="6">
        <v>2000</v>
      </c>
      <c r="I16" s="6"/>
      <c r="J16" s="6">
        <f t="shared" si="1"/>
        <v>281146</v>
      </c>
      <c r="K16" s="6" t="str">
        <f t="shared" si="0"/>
        <v>مقبول</v>
      </c>
      <c r="L16" s="6"/>
      <c r="M16" s="6"/>
      <c r="N16" s="6"/>
    </row>
    <row r="17" spans="1:14" x14ac:dyDescent="0.35">
      <c r="A17" s="6">
        <v>75</v>
      </c>
      <c r="B17" s="9">
        <v>46251</v>
      </c>
      <c r="C17" s="6"/>
      <c r="D17" s="6"/>
      <c r="E17" s="6" t="s">
        <v>98</v>
      </c>
      <c r="F17" s="6"/>
      <c r="G17" s="6">
        <v>220000</v>
      </c>
      <c r="H17" s="6"/>
      <c r="I17" s="6"/>
      <c r="J17" s="6">
        <f t="shared" si="1"/>
        <v>61146</v>
      </c>
      <c r="K17" s="6" t="str">
        <f t="shared" si="0"/>
        <v>مقبول</v>
      </c>
      <c r="L17" s="6"/>
      <c r="M17" s="6"/>
      <c r="N17" s="6"/>
    </row>
    <row r="18" spans="1:14" x14ac:dyDescent="0.35">
      <c r="A18" s="6">
        <v>76</v>
      </c>
      <c r="B18" s="9">
        <v>46251</v>
      </c>
      <c r="C18" s="6"/>
      <c r="D18" s="6"/>
      <c r="E18" s="6" t="s">
        <v>99</v>
      </c>
      <c r="F18" s="6"/>
      <c r="G18" s="6">
        <v>1000</v>
      </c>
      <c r="H18" s="6"/>
      <c r="I18" s="6"/>
      <c r="J18" s="6">
        <f t="shared" si="1"/>
        <v>60146</v>
      </c>
      <c r="K18" s="6" t="str">
        <f t="shared" si="0"/>
        <v>مقبول</v>
      </c>
      <c r="L18" s="6"/>
      <c r="M18" s="6"/>
      <c r="N18" s="6"/>
    </row>
    <row r="19" spans="1:14" x14ac:dyDescent="0.35">
      <c r="A19" s="6">
        <v>77</v>
      </c>
      <c r="B19" s="9">
        <v>46251</v>
      </c>
      <c r="C19" s="6"/>
      <c r="D19" s="6"/>
      <c r="E19" s="6" t="s">
        <v>100</v>
      </c>
      <c r="F19" s="6"/>
      <c r="G19" s="6">
        <v>1000</v>
      </c>
      <c r="H19" s="6"/>
      <c r="I19" s="6"/>
      <c r="J19" s="6">
        <f t="shared" si="1"/>
        <v>59146</v>
      </c>
      <c r="K19" s="6" t="str">
        <f t="shared" si="0"/>
        <v>مقبول</v>
      </c>
      <c r="M19" s="6"/>
      <c r="N19" s="6"/>
    </row>
    <row r="20" spans="1:14" x14ac:dyDescent="0.35">
      <c r="A20" s="6">
        <v>78</v>
      </c>
      <c r="B20" s="9">
        <v>46251</v>
      </c>
      <c r="C20" s="6"/>
      <c r="D20" s="6"/>
      <c r="E20" s="6" t="s">
        <v>101</v>
      </c>
      <c r="F20" s="6"/>
      <c r="G20" s="6">
        <v>100</v>
      </c>
      <c r="H20" s="6"/>
      <c r="I20" s="6"/>
      <c r="J20" s="6">
        <f t="shared" si="1"/>
        <v>59046</v>
      </c>
      <c r="K20" s="6" t="str">
        <f t="shared" si="0"/>
        <v>مقبول</v>
      </c>
      <c r="L20" s="6"/>
      <c r="M20" s="6"/>
      <c r="N20" s="6"/>
    </row>
    <row r="21" spans="1:14" x14ac:dyDescent="0.35">
      <c r="A21" s="6">
        <v>79</v>
      </c>
      <c r="B21" s="9">
        <v>46251</v>
      </c>
      <c r="C21" s="6"/>
      <c r="D21" s="6"/>
      <c r="E21" s="6" t="s">
        <v>102</v>
      </c>
      <c r="F21" s="6"/>
      <c r="G21" s="6">
        <v>300</v>
      </c>
      <c r="H21" s="6"/>
      <c r="I21" s="6"/>
      <c r="J21" s="6">
        <f t="shared" si="1"/>
        <v>58746</v>
      </c>
      <c r="K21" s="6" t="str">
        <f t="shared" si="0"/>
        <v>مقبول</v>
      </c>
      <c r="L21" s="6"/>
      <c r="M21" s="6"/>
      <c r="N21" s="6"/>
    </row>
    <row r="22" spans="1:14" x14ac:dyDescent="0.35">
      <c r="A22" s="6"/>
      <c r="B22" s="9">
        <v>46251</v>
      </c>
      <c r="C22" s="6"/>
      <c r="D22" s="6"/>
      <c r="E22" s="6" t="s">
        <v>103</v>
      </c>
      <c r="F22" s="6"/>
      <c r="G22" s="6">
        <v>500</v>
      </c>
      <c r="H22" s="6"/>
      <c r="I22" s="6"/>
      <c r="J22" s="6">
        <f t="shared" si="1"/>
        <v>58246</v>
      </c>
      <c r="K22" s="6" t="str">
        <f t="shared" si="0"/>
        <v>مقبول</v>
      </c>
      <c r="L22" s="6"/>
      <c r="M22" s="6"/>
      <c r="N22" s="6"/>
    </row>
    <row r="23" spans="1:14" x14ac:dyDescent="0.35">
      <c r="A23" s="6"/>
      <c r="B23" s="9">
        <v>46252</v>
      </c>
      <c r="C23" s="6"/>
      <c r="D23" s="6"/>
      <c r="E23" s="6" t="s">
        <v>104</v>
      </c>
      <c r="F23" s="6"/>
      <c r="G23" s="6"/>
      <c r="H23" s="6">
        <v>20000</v>
      </c>
      <c r="I23" s="6"/>
      <c r="J23" s="6">
        <f t="shared" si="1"/>
        <v>78246</v>
      </c>
      <c r="K23" s="6" t="str">
        <f t="shared" si="0"/>
        <v>مقبول</v>
      </c>
      <c r="L23" s="6" t="s">
        <v>105</v>
      </c>
      <c r="M23" s="6"/>
      <c r="N23" s="6"/>
    </row>
    <row r="24" spans="1:14" x14ac:dyDescent="0.35">
      <c r="A24" s="6"/>
      <c r="B24" s="9">
        <v>46252</v>
      </c>
      <c r="C24" s="6"/>
      <c r="D24" s="6"/>
      <c r="E24" s="6" t="s">
        <v>106</v>
      </c>
      <c r="F24" s="6"/>
      <c r="G24" s="6">
        <v>1900</v>
      </c>
      <c r="H24" s="6"/>
      <c r="I24" s="6"/>
      <c r="J24" s="6">
        <f t="shared" si="1"/>
        <v>76346</v>
      </c>
      <c r="K24" s="6" t="str">
        <f t="shared" si="0"/>
        <v>مقبول</v>
      </c>
      <c r="L24" s="6"/>
      <c r="M24" s="6"/>
      <c r="N24" s="6"/>
    </row>
    <row r="25" spans="1:14" x14ac:dyDescent="0.35">
      <c r="A25" s="6"/>
      <c r="B25" s="9">
        <v>46252</v>
      </c>
      <c r="C25" s="6"/>
      <c r="D25" s="6"/>
      <c r="E25" s="6" t="s">
        <v>107</v>
      </c>
      <c r="F25" s="6"/>
      <c r="G25" s="6">
        <v>100</v>
      </c>
      <c r="H25" s="6"/>
      <c r="I25" s="6"/>
      <c r="J25" s="6">
        <f t="shared" si="1"/>
        <v>76246</v>
      </c>
      <c r="K25" s="6" t="str">
        <f t="shared" si="0"/>
        <v>مقبول</v>
      </c>
      <c r="L25" s="6"/>
      <c r="M25" s="6"/>
      <c r="N25" s="6"/>
    </row>
    <row r="26" spans="1:14" x14ac:dyDescent="0.35">
      <c r="A26" s="6"/>
      <c r="B26" s="9">
        <v>46252</v>
      </c>
      <c r="C26" s="6"/>
      <c r="D26" s="6"/>
      <c r="E26" s="6" t="s">
        <v>108</v>
      </c>
      <c r="F26" s="6"/>
      <c r="G26" s="6">
        <v>1100</v>
      </c>
      <c r="H26" s="6"/>
      <c r="I26" s="6"/>
      <c r="J26" s="6">
        <f t="shared" si="1"/>
        <v>75146</v>
      </c>
      <c r="K26" s="6" t="str">
        <f t="shared" si="0"/>
        <v>مقبول</v>
      </c>
      <c r="L26" s="6"/>
      <c r="M26" s="6"/>
      <c r="N26" s="6"/>
    </row>
    <row r="27" spans="1:14" x14ac:dyDescent="0.35">
      <c r="A27" s="6"/>
      <c r="B27" s="9">
        <v>46252</v>
      </c>
      <c r="C27" s="6"/>
      <c r="D27" s="6"/>
      <c r="E27" s="6" t="s">
        <v>109</v>
      </c>
      <c r="F27" s="6"/>
      <c r="G27" s="6">
        <v>9300</v>
      </c>
      <c r="H27" s="6"/>
      <c r="I27" s="6"/>
      <c r="J27" s="6">
        <f t="shared" si="1"/>
        <v>65846</v>
      </c>
      <c r="K27" s="6" t="str">
        <f t="shared" si="0"/>
        <v>مقبول</v>
      </c>
      <c r="L27" s="6"/>
      <c r="M27" s="6"/>
      <c r="N27" s="6"/>
    </row>
    <row r="28" spans="1:14" x14ac:dyDescent="0.35">
      <c r="A28" s="6"/>
      <c r="B28" s="9">
        <v>46252</v>
      </c>
      <c r="C28" s="6"/>
      <c r="D28" s="6"/>
      <c r="E28" s="6" t="s">
        <v>110</v>
      </c>
      <c r="F28" s="6"/>
      <c r="G28" s="6">
        <v>400</v>
      </c>
      <c r="H28" s="6"/>
      <c r="I28" s="6"/>
      <c r="J28" s="6">
        <f t="shared" si="1"/>
        <v>65446</v>
      </c>
      <c r="K28" s="6" t="str">
        <f t="shared" si="0"/>
        <v>مقبول</v>
      </c>
      <c r="L28" s="6" t="s">
        <v>111</v>
      </c>
      <c r="M28" s="6"/>
      <c r="N28" s="6"/>
    </row>
    <row r="29" spans="1:14" x14ac:dyDescent="0.35">
      <c r="A29" s="6"/>
      <c r="B29" s="9">
        <v>46252</v>
      </c>
      <c r="C29" s="6"/>
      <c r="D29" s="6"/>
      <c r="E29" s="6" t="s">
        <v>112</v>
      </c>
      <c r="F29" s="6"/>
      <c r="G29" s="6">
        <v>665</v>
      </c>
      <c r="H29" s="6"/>
      <c r="I29" s="6"/>
      <c r="J29" s="6">
        <f t="shared" si="1"/>
        <v>64781</v>
      </c>
      <c r="K29" s="6" t="str">
        <f t="shared" si="0"/>
        <v>مقبول</v>
      </c>
      <c r="L29" s="6"/>
      <c r="M29" s="6"/>
      <c r="N29" s="6"/>
    </row>
    <row r="30" spans="1:14" x14ac:dyDescent="0.35">
      <c r="A30" s="6"/>
      <c r="B30" s="9">
        <v>46252</v>
      </c>
      <c r="C30" s="6"/>
      <c r="D30" s="6"/>
      <c r="E30" s="6" t="s">
        <v>113</v>
      </c>
      <c r="F30" s="6"/>
      <c r="G30" s="6">
        <v>900</v>
      </c>
      <c r="H30" s="6"/>
      <c r="I30" s="6"/>
      <c r="J30" s="6">
        <f t="shared" si="1"/>
        <v>63881</v>
      </c>
      <c r="K30" s="6" t="str">
        <f t="shared" si="0"/>
        <v>مقبول</v>
      </c>
      <c r="L30" s="6"/>
      <c r="M30" s="6"/>
      <c r="N30" s="6"/>
    </row>
    <row r="31" spans="1:14" x14ac:dyDescent="0.35">
      <c r="A31" s="6"/>
      <c r="B31" s="9">
        <v>46253</v>
      </c>
      <c r="C31" s="6"/>
      <c r="D31" s="6"/>
      <c r="E31" s="6" t="s">
        <v>114</v>
      </c>
      <c r="F31" s="6"/>
      <c r="G31" s="6">
        <v>200</v>
      </c>
      <c r="H31" s="6"/>
      <c r="I31" s="6"/>
      <c r="J31" s="6">
        <f t="shared" si="1"/>
        <v>63681</v>
      </c>
      <c r="K31" s="6" t="str">
        <f t="shared" si="0"/>
        <v>مقبول</v>
      </c>
      <c r="L31" s="6"/>
      <c r="M31" s="6"/>
      <c r="N31" s="6"/>
    </row>
    <row r="32" spans="1:14" x14ac:dyDescent="0.35">
      <c r="A32" s="6"/>
      <c r="B32" s="9">
        <v>46253</v>
      </c>
      <c r="C32" s="6"/>
      <c r="D32" s="6"/>
      <c r="E32" s="6" t="s">
        <v>115</v>
      </c>
      <c r="F32" s="6"/>
      <c r="G32" s="6"/>
      <c r="H32" s="6">
        <v>9300</v>
      </c>
      <c r="I32" s="6"/>
      <c r="J32" s="6">
        <f t="shared" si="1"/>
        <v>72981</v>
      </c>
      <c r="K32" s="6" t="str">
        <f t="shared" si="0"/>
        <v>مقبول</v>
      </c>
      <c r="L32" s="6" t="s">
        <v>105</v>
      </c>
      <c r="M32" s="6"/>
      <c r="N32" s="6"/>
    </row>
    <row r="33" spans="1:14" x14ac:dyDescent="0.35">
      <c r="A33" s="6"/>
      <c r="B33" s="9">
        <v>46253</v>
      </c>
      <c r="C33" s="6"/>
      <c r="D33" s="6"/>
      <c r="E33" s="6" t="s">
        <v>116</v>
      </c>
      <c r="F33" s="6"/>
      <c r="G33" s="6">
        <v>260</v>
      </c>
      <c r="H33" s="6"/>
      <c r="I33" s="6"/>
      <c r="J33" s="6">
        <f t="shared" si="1"/>
        <v>72721</v>
      </c>
      <c r="K33" s="6" t="str">
        <f t="shared" si="0"/>
        <v>مقبول</v>
      </c>
      <c r="L33" s="6"/>
      <c r="M33" s="6"/>
      <c r="N33" s="6"/>
    </row>
    <row r="34" spans="1:14" x14ac:dyDescent="0.35">
      <c r="A34" s="6"/>
      <c r="B34" s="9">
        <v>46253</v>
      </c>
      <c r="C34" s="6"/>
      <c r="D34" s="6"/>
      <c r="E34" s="6" t="s">
        <v>117</v>
      </c>
      <c r="F34" s="6"/>
      <c r="G34" s="6">
        <v>200</v>
      </c>
      <c r="H34" s="6"/>
      <c r="I34" s="6"/>
      <c r="J34" s="6">
        <f t="shared" si="1"/>
        <v>72521</v>
      </c>
      <c r="K34" s="6" t="str">
        <f t="shared" si="0"/>
        <v>مقبول</v>
      </c>
      <c r="L34" s="6"/>
      <c r="M34" s="6"/>
      <c r="N34" s="6"/>
    </row>
    <row r="35" spans="1:14" x14ac:dyDescent="0.35">
      <c r="A35" s="10" t="s">
        <v>48</v>
      </c>
      <c r="B35" s="10"/>
      <c r="C35" s="10"/>
      <c r="D35" s="10"/>
      <c r="E35" s="10"/>
      <c r="F35" s="10"/>
      <c r="G35" s="10">
        <f>SUM(G4:G34)</f>
        <v>287319</v>
      </c>
      <c r="H35" s="10">
        <f>SUM(H4:H34)</f>
        <v>359840</v>
      </c>
      <c r="I35" s="10"/>
      <c r="J35" s="10"/>
      <c r="K35" s="10"/>
      <c r="L35" s="10"/>
      <c r="M35" s="10"/>
      <c r="N35" s="10"/>
    </row>
    <row r="37" spans="1:14" x14ac:dyDescent="0.35">
      <c r="H37">
        <f>55000+6830</f>
        <v>61830</v>
      </c>
    </row>
    <row r="38" spans="1:14" x14ac:dyDescent="0.35">
      <c r="H38">
        <f>J34-H37</f>
        <v>10691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"/>
  <sheetViews>
    <sheetView rightToLeft="1" workbookViewId="0"/>
  </sheetViews>
  <sheetFormatPr defaultRowHeight="14.5" x14ac:dyDescent="0.35"/>
  <cols>
    <col min="1" max="1" width="6" customWidth="1"/>
    <col min="2" max="3" width="12" customWidth="1"/>
    <col min="4" max="4" width="10" customWidth="1"/>
    <col min="5" max="5" width="30" customWidth="1"/>
    <col min="6" max="6" width="20" customWidth="1"/>
    <col min="7" max="9" width="12" customWidth="1"/>
    <col min="10" max="10" width="14" customWidth="1"/>
    <col min="11" max="11" width="18" customWidth="1"/>
    <col min="12" max="12" width="20" customWidth="1"/>
    <col min="13" max="14" width="14" customWidth="1"/>
  </cols>
  <sheetData>
    <row r="1" spans="1:14" ht="32" customHeight="1" x14ac:dyDescent="0.35">
      <c r="A1" s="24" t="s">
        <v>118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22" customHeight="1" x14ac:dyDescent="0.35">
      <c r="A2" s="15" t="s">
        <v>1</v>
      </c>
      <c r="C2" s="15" t="s">
        <v>119</v>
      </c>
      <c r="D2" s="16">
        <v>5000</v>
      </c>
    </row>
    <row r="3" spans="1:14" ht="26" customHeight="1" x14ac:dyDescent="0.35">
      <c r="A3" s="17" t="s">
        <v>3</v>
      </c>
      <c r="B3" s="17" t="s">
        <v>4</v>
      </c>
      <c r="C3" s="17" t="s">
        <v>5</v>
      </c>
      <c r="D3" s="17" t="s">
        <v>120</v>
      </c>
      <c r="E3" s="17" t="s">
        <v>7</v>
      </c>
      <c r="F3" s="17" t="s">
        <v>8</v>
      </c>
      <c r="G3" s="17" t="s">
        <v>9</v>
      </c>
      <c r="H3" s="17" t="s">
        <v>10</v>
      </c>
      <c r="I3" s="17" t="s">
        <v>11</v>
      </c>
      <c r="J3" s="17" t="s">
        <v>12</v>
      </c>
      <c r="K3" s="17" t="s">
        <v>13</v>
      </c>
      <c r="L3" s="17" t="s">
        <v>14</v>
      </c>
      <c r="M3" s="17" t="s">
        <v>15</v>
      </c>
      <c r="N3" s="17" t="s">
        <v>16</v>
      </c>
    </row>
    <row r="4" spans="1:14" ht="22" customHeight="1" x14ac:dyDescent="0.35">
      <c r="A4" s="18">
        <v>1</v>
      </c>
      <c r="B4" s="18" t="s">
        <v>121</v>
      </c>
      <c r="C4" s="19">
        <v>0</v>
      </c>
      <c r="D4" s="19" t="s">
        <v>122</v>
      </c>
      <c r="E4" s="19" t="s">
        <v>123</v>
      </c>
      <c r="F4" s="19" t="s">
        <v>124</v>
      </c>
      <c r="G4" s="18" t="s">
        <v>122</v>
      </c>
      <c r="H4" s="18">
        <v>5000</v>
      </c>
      <c r="I4" s="19" t="s">
        <v>125</v>
      </c>
      <c r="J4" s="18" t="e">
        <f>C4-G4+H4</f>
        <v>#VALUE!</v>
      </c>
      <c r="K4" s="18" t="e">
        <f t="shared" ref="K4:K33" si="0">IF(J4&lt;200,"تنبيه: اعد التعبئة","مقبول")</f>
        <v>#VALUE!</v>
      </c>
      <c r="L4" s="19" t="s">
        <v>126</v>
      </c>
      <c r="M4" s="19" t="s">
        <v>127</v>
      </c>
      <c r="N4" s="19" t="s">
        <v>128</v>
      </c>
    </row>
    <row r="5" spans="1:14" ht="22" customHeight="1" x14ac:dyDescent="0.35">
      <c r="A5" s="18">
        <v>2</v>
      </c>
      <c r="B5" s="18" t="s">
        <v>129</v>
      </c>
      <c r="C5" s="19" t="s">
        <v>122</v>
      </c>
      <c r="D5" s="19" t="s">
        <v>122</v>
      </c>
      <c r="E5" s="19" t="s">
        <v>130</v>
      </c>
      <c r="F5" s="19" t="s">
        <v>131</v>
      </c>
      <c r="G5" s="18">
        <v>450</v>
      </c>
      <c r="H5" s="18" t="s">
        <v>122</v>
      </c>
      <c r="I5" s="19" t="s">
        <v>132</v>
      </c>
      <c r="J5" s="18" t="e">
        <f t="shared" ref="J5:J33" si="1">J4-G5+H5</f>
        <v>#VALUE!</v>
      </c>
      <c r="K5" s="18" t="e">
        <f t="shared" si="0"/>
        <v>#VALUE!</v>
      </c>
      <c r="L5" s="19" t="s">
        <v>133</v>
      </c>
      <c r="M5" s="19" t="s">
        <v>127</v>
      </c>
      <c r="N5" s="19" t="s">
        <v>128</v>
      </c>
    </row>
    <row r="6" spans="1:14" ht="22" customHeight="1" x14ac:dyDescent="0.35">
      <c r="A6" s="18">
        <v>3</v>
      </c>
      <c r="B6" s="18" t="s">
        <v>134</v>
      </c>
      <c r="C6" s="19" t="s">
        <v>122</v>
      </c>
      <c r="D6" s="19" t="s">
        <v>122</v>
      </c>
      <c r="E6" s="19" t="s">
        <v>135</v>
      </c>
      <c r="F6" s="19" t="s">
        <v>136</v>
      </c>
      <c r="G6" s="18">
        <v>320</v>
      </c>
      <c r="H6" s="18" t="s">
        <v>122</v>
      </c>
      <c r="I6" s="19" t="s">
        <v>137</v>
      </c>
      <c r="J6" s="18" t="e">
        <f t="shared" si="1"/>
        <v>#VALUE!</v>
      </c>
      <c r="K6" s="18" t="e">
        <f t="shared" si="0"/>
        <v>#VALUE!</v>
      </c>
      <c r="L6" s="19" t="s">
        <v>138</v>
      </c>
      <c r="M6" s="19" t="s">
        <v>127</v>
      </c>
      <c r="N6" s="19" t="s">
        <v>128</v>
      </c>
    </row>
    <row r="7" spans="1:14" ht="22" customHeight="1" x14ac:dyDescent="0.35">
      <c r="A7" s="18">
        <v>4</v>
      </c>
      <c r="B7" s="18" t="s">
        <v>139</v>
      </c>
      <c r="C7" s="19" t="s">
        <v>122</v>
      </c>
      <c r="D7" s="19" t="s">
        <v>122</v>
      </c>
      <c r="E7" s="19" t="s">
        <v>140</v>
      </c>
      <c r="F7" s="19" t="s">
        <v>141</v>
      </c>
      <c r="G7" s="18" t="s">
        <v>122</v>
      </c>
      <c r="H7" s="18">
        <v>650</v>
      </c>
      <c r="I7" s="19" t="s">
        <v>142</v>
      </c>
      <c r="J7" s="18" t="e">
        <f t="shared" si="1"/>
        <v>#VALUE!</v>
      </c>
      <c r="K7" s="18" t="e">
        <f t="shared" si="0"/>
        <v>#VALUE!</v>
      </c>
      <c r="L7" s="19" t="s">
        <v>143</v>
      </c>
      <c r="M7" s="19" t="s">
        <v>127</v>
      </c>
      <c r="N7" s="19" t="s">
        <v>128</v>
      </c>
    </row>
    <row r="8" spans="1:14" ht="20" customHeight="1" x14ac:dyDescent="0.35">
      <c r="A8" s="20">
        <v>5</v>
      </c>
      <c r="B8" s="20" t="s">
        <v>122</v>
      </c>
      <c r="C8" s="21" t="s">
        <v>122</v>
      </c>
      <c r="D8" s="21" t="s">
        <v>122</v>
      </c>
      <c r="E8" s="21" t="s">
        <v>122</v>
      </c>
      <c r="F8" s="21" t="s">
        <v>122</v>
      </c>
      <c r="G8" s="20" t="s">
        <v>122</v>
      </c>
      <c r="H8" s="20" t="s">
        <v>122</v>
      </c>
      <c r="I8" s="21" t="s">
        <v>122</v>
      </c>
      <c r="J8" s="20" t="e">
        <f t="shared" si="1"/>
        <v>#VALUE!</v>
      </c>
      <c r="K8" s="20" t="e">
        <f t="shared" si="0"/>
        <v>#VALUE!</v>
      </c>
      <c r="L8" s="21" t="s">
        <v>122</v>
      </c>
      <c r="M8" s="21" t="s">
        <v>122</v>
      </c>
      <c r="N8" s="21" t="s">
        <v>122</v>
      </c>
    </row>
    <row r="9" spans="1:14" ht="20" customHeight="1" x14ac:dyDescent="0.35">
      <c r="A9" s="20">
        <v>6</v>
      </c>
      <c r="B9" s="20" t="s">
        <v>122</v>
      </c>
      <c r="C9" s="21" t="s">
        <v>122</v>
      </c>
      <c r="D9" s="21" t="s">
        <v>122</v>
      </c>
      <c r="E9" s="21" t="s">
        <v>122</v>
      </c>
      <c r="F9" s="21" t="s">
        <v>122</v>
      </c>
      <c r="G9" s="20" t="s">
        <v>122</v>
      </c>
      <c r="H9" s="20" t="s">
        <v>122</v>
      </c>
      <c r="I9" s="21" t="s">
        <v>122</v>
      </c>
      <c r="J9" s="20" t="e">
        <f t="shared" si="1"/>
        <v>#VALUE!</v>
      </c>
      <c r="K9" s="20" t="e">
        <f t="shared" si="0"/>
        <v>#VALUE!</v>
      </c>
      <c r="L9" s="21" t="s">
        <v>122</v>
      </c>
      <c r="M9" s="21" t="s">
        <v>122</v>
      </c>
      <c r="N9" s="21" t="s">
        <v>122</v>
      </c>
    </row>
    <row r="10" spans="1:14" ht="20" customHeight="1" x14ac:dyDescent="0.35">
      <c r="A10" s="20">
        <v>7</v>
      </c>
      <c r="B10" s="20" t="s">
        <v>122</v>
      </c>
      <c r="C10" s="21" t="s">
        <v>122</v>
      </c>
      <c r="D10" s="21" t="s">
        <v>122</v>
      </c>
      <c r="E10" s="21" t="s">
        <v>122</v>
      </c>
      <c r="F10" s="21" t="s">
        <v>122</v>
      </c>
      <c r="G10" s="20" t="s">
        <v>122</v>
      </c>
      <c r="H10" s="20" t="s">
        <v>122</v>
      </c>
      <c r="I10" s="21" t="s">
        <v>122</v>
      </c>
      <c r="J10" s="20" t="e">
        <f t="shared" si="1"/>
        <v>#VALUE!</v>
      </c>
      <c r="K10" s="20" t="e">
        <f t="shared" si="0"/>
        <v>#VALUE!</v>
      </c>
      <c r="L10" s="21" t="s">
        <v>122</v>
      </c>
      <c r="M10" s="21" t="s">
        <v>122</v>
      </c>
      <c r="N10" s="21" t="s">
        <v>122</v>
      </c>
    </row>
    <row r="11" spans="1:14" ht="20" customHeight="1" x14ac:dyDescent="0.35">
      <c r="A11" s="20">
        <v>8</v>
      </c>
      <c r="B11" s="20" t="s">
        <v>122</v>
      </c>
      <c r="C11" s="21" t="s">
        <v>122</v>
      </c>
      <c r="D11" s="21" t="s">
        <v>122</v>
      </c>
      <c r="E11" s="21" t="s">
        <v>122</v>
      </c>
      <c r="F11" s="21" t="s">
        <v>122</v>
      </c>
      <c r="G11" s="20" t="s">
        <v>122</v>
      </c>
      <c r="H11" s="20" t="s">
        <v>122</v>
      </c>
      <c r="I11" s="21" t="s">
        <v>122</v>
      </c>
      <c r="J11" s="20" t="e">
        <f t="shared" si="1"/>
        <v>#VALUE!</v>
      </c>
      <c r="K11" s="20" t="e">
        <f t="shared" si="0"/>
        <v>#VALUE!</v>
      </c>
      <c r="L11" s="21" t="s">
        <v>122</v>
      </c>
      <c r="M11" s="21" t="s">
        <v>122</v>
      </c>
      <c r="N11" s="21" t="s">
        <v>122</v>
      </c>
    </row>
    <row r="12" spans="1:14" ht="20" customHeight="1" x14ac:dyDescent="0.35">
      <c r="A12" s="20">
        <v>9</v>
      </c>
      <c r="B12" s="20" t="s">
        <v>122</v>
      </c>
      <c r="C12" s="21" t="s">
        <v>122</v>
      </c>
      <c r="D12" s="21" t="s">
        <v>122</v>
      </c>
      <c r="E12" s="21" t="s">
        <v>122</v>
      </c>
      <c r="F12" s="21" t="s">
        <v>122</v>
      </c>
      <c r="G12" s="20" t="s">
        <v>122</v>
      </c>
      <c r="H12" s="20" t="s">
        <v>122</v>
      </c>
      <c r="I12" s="21" t="s">
        <v>122</v>
      </c>
      <c r="J12" s="20" t="e">
        <f t="shared" si="1"/>
        <v>#VALUE!</v>
      </c>
      <c r="K12" s="20" t="e">
        <f t="shared" si="0"/>
        <v>#VALUE!</v>
      </c>
      <c r="L12" s="21" t="s">
        <v>122</v>
      </c>
      <c r="M12" s="21" t="s">
        <v>122</v>
      </c>
      <c r="N12" s="21" t="s">
        <v>122</v>
      </c>
    </row>
    <row r="13" spans="1:14" ht="20" customHeight="1" x14ac:dyDescent="0.35">
      <c r="A13" s="20">
        <v>10</v>
      </c>
      <c r="B13" s="20" t="s">
        <v>122</v>
      </c>
      <c r="C13" s="21" t="s">
        <v>122</v>
      </c>
      <c r="D13" s="21" t="s">
        <v>122</v>
      </c>
      <c r="E13" s="21" t="s">
        <v>122</v>
      </c>
      <c r="F13" s="21" t="s">
        <v>122</v>
      </c>
      <c r="G13" s="20" t="s">
        <v>122</v>
      </c>
      <c r="H13" s="20" t="s">
        <v>122</v>
      </c>
      <c r="I13" s="21" t="s">
        <v>122</v>
      </c>
      <c r="J13" s="20" t="e">
        <f t="shared" si="1"/>
        <v>#VALUE!</v>
      </c>
      <c r="K13" s="20" t="e">
        <f t="shared" si="0"/>
        <v>#VALUE!</v>
      </c>
      <c r="L13" s="21" t="s">
        <v>122</v>
      </c>
      <c r="M13" s="21" t="s">
        <v>122</v>
      </c>
      <c r="N13" s="21" t="s">
        <v>122</v>
      </c>
    </row>
    <row r="14" spans="1:14" ht="20" customHeight="1" x14ac:dyDescent="0.35">
      <c r="A14" s="20">
        <v>11</v>
      </c>
      <c r="B14" s="20" t="s">
        <v>122</v>
      </c>
      <c r="C14" s="21" t="s">
        <v>122</v>
      </c>
      <c r="D14" s="21" t="s">
        <v>122</v>
      </c>
      <c r="E14" s="21" t="s">
        <v>122</v>
      </c>
      <c r="F14" s="21" t="s">
        <v>122</v>
      </c>
      <c r="G14" s="20" t="s">
        <v>122</v>
      </c>
      <c r="H14" s="20" t="s">
        <v>122</v>
      </c>
      <c r="I14" s="21" t="s">
        <v>122</v>
      </c>
      <c r="J14" s="20" t="e">
        <f t="shared" si="1"/>
        <v>#VALUE!</v>
      </c>
      <c r="K14" s="20" t="e">
        <f t="shared" si="0"/>
        <v>#VALUE!</v>
      </c>
      <c r="L14" s="21" t="s">
        <v>122</v>
      </c>
      <c r="M14" s="21" t="s">
        <v>122</v>
      </c>
      <c r="N14" s="21" t="s">
        <v>122</v>
      </c>
    </row>
    <row r="15" spans="1:14" ht="20" customHeight="1" x14ac:dyDescent="0.35">
      <c r="A15" s="20">
        <v>12</v>
      </c>
      <c r="B15" s="20" t="s">
        <v>122</v>
      </c>
      <c r="C15" s="21" t="s">
        <v>122</v>
      </c>
      <c r="D15" s="21" t="s">
        <v>122</v>
      </c>
      <c r="E15" s="21" t="s">
        <v>122</v>
      </c>
      <c r="F15" s="21" t="s">
        <v>122</v>
      </c>
      <c r="G15" s="20" t="s">
        <v>122</v>
      </c>
      <c r="H15" s="20" t="s">
        <v>122</v>
      </c>
      <c r="I15" s="21" t="s">
        <v>122</v>
      </c>
      <c r="J15" s="20" t="e">
        <f t="shared" si="1"/>
        <v>#VALUE!</v>
      </c>
      <c r="K15" s="20" t="e">
        <f t="shared" si="0"/>
        <v>#VALUE!</v>
      </c>
      <c r="L15" s="21" t="s">
        <v>122</v>
      </c>
      <c r="M15" s="21" t="s">
        <v>122</v>
      </c>
      <c r="N15" s="21" t="s">
        <v>122</v>
      </c>
    </row>
    <row r="16" spans="1:14" ht="20" customHeight="1" x14ac:dyDescent="0.35">
      <c r="A16" s="20">
        <v>13</v>
      </c>
      <c r="B16" s="20" t="s">
        <v>122</v>
      </c>
      <c r="C16" s="21" t="s">
        <v>122</v>
      </c>
      <c r="D16" s="21" t="s">
        <v>122</v>
      </c>
      <c r="E16" s="21" t="s">
        <v>122</v>
      </c>
      <c r="F16" s="21" t="s">
        <v>122</v>
      </c>
      <c r="G16" s="20" t="s">
        <v>122</v>
      </c>
      <c r="H16" s="20" t="s">
        <v>122</v>
      </c>
      <c r="I16" s="21" t="s">
        <v>122</v>
      </c>
      <c r="J16" s="20" t="e">
        <f t="shared" si="1"/>
        <v>#VALUE!</v>
      </c>
      <c r="K16" s="20" t="e">
        <f t="shared" si="0"/>
        <v>#VALUE!</v>
      </c>
      <c r="L16" s="21" t="s">
        <v>122</v>
      </c>
      <c r="M16" s="21" t="s">
        <v>122</v>
      </c>
      <c r="N16" s="21" t="s">
        <v>122</v>
      </c>
    </row>
    <row r="17" spans="1:14" ht="20" customHeight="1" x14ac:dyDescent="0.35">
      <c r="A17" s="20">
        <v>14</v>
      </c>
      <c r="B17" s="20" t="s">
        <v>122</v>
      </c>
      <c r="C17" s="21" t="s">
        <v>122</v>
      </c>
      <c r="D17" s="21" t="s">
        <v>122</v>
      </c>
      <c r="E17" s="21" t="s">
        <v>122</v>
      </c>
      <c r="F17" s="21" t="s">
        <v>122</v>
      </c>
      <c r="G17" s="20" t="s">
        <v>122</v>
      </c>
      <c r="H17" s="20" t="s">
        <v>122</v>
      </c>
      <c r="I17" s="21" t="s">
        <v>122</v>
      </c>
      <c r="J17" s="20" t="e">
        <f t="shared" si="1"/>
        <v>#VALUE!</v>
      </c>
      <c r="K17" s="20" t="e">
        <f t="shared" si="0"/>
        <v>#VALUE!</v>
      </c>
      <c r="L17" s="21" t="s">
        <v>122</v>
      </c>
      <c r="M17" s="21" t="s">
        <v>122</v>
      </c>
      <c r="N17" s="21" t="s">
        <v>122</v>
      </c>
    </row>
    <row r="18" spans="1:14" ht="20" customHeight="1" x14ac:dyDescent="0.35">
      <c r="A18" s="20">
        <v>15</v>
      </c>
      <c r="B18" s="20" t="s">
        <v>122</v>
      </c>
      <c r="C18" s="21" t="s">
        <v>122</v>
      </c>
      <c r="D18" s="21" t="s">
        <v>122</v>
      </c>
      <c r="E18" s="21" t="s">
        <v>122</v>
      </c>
      <c r="F18" s="21" t="s">
        <v>122</v>
      </c>
      <c r="G18" s="20" t="s">
        <v>122</v>
      </c>
      <c r="H18" s="20" t="s">
        <v>122</v>
      </c>
      <c r="I18" s="21" t="s">
        <v>122</v>
      </c>
      <c r="J18" s="20" t="e">
        <f t="shared" si="1"/>
        <v>#VALUE!</v>
      </c>
      <c r="K18" s="20" t="e">
        <f t="shared" si="0"/>
        <v>#VALUE!</v>
      </c>
      <c r="L18" s="21" t="s">
        <v>122</v>
      </c>
      <c r="M18" s="21" t="s">
        <v>122</v>
      </c>
      <c r="N18" s="21" t="s">
        <v>122</v>
      </c>
    </row>
    <row r="19" spans="1:14" ht="20" customHeight="1" x14ac:dyDescent="0.35">
      <c r="A19" s="20">
        <v>16</v>
      </c>
      <c r="B19" s="20" t="s">
        <v>122</v>
      </c>
      <c r="C19" s="21" t="s">
        <v>122</v>
      </c>
      <c r="D19" s="21" t="s">
        <v>122</v>
      </c>
      <c r="E19" s="21" t="s">
        <v>122</v>
      </c>
      <c r="F19" s="21" t="s">
        <v>122</v>
      </c>
      <c r="G19" s="20" t="s">
        <v>122</v>
      </c>
      <c r="H19" s="20" t="s">
        <v>122</v>
      </c>
      <c r="I19" s="21" t="s">
        <v>122</v>
      </c>
      <c r="J19" s="20" t="e">
        <f t="shared" si="1"/>
        <v>#VALUE!</v>
      </c>
      <c r="K19" s="20" t="e">
        <f t="shared" si="0"/>
        <v>#VALUE!</v>
      </c>
      <c r="L19" s="21" t="s">
        <v>122</v>
      </c>
      <c r="M19" s="21" t="s">
        <v>122</v>
      </c>
      <c r="N19" s="21" t="s">
        <v>122</v>
      </c>
    </row>
    <row r="20" spans="1:14" ht="20" customHeight="1" x14ac:dyDescent="0.35">
      <c r="A20" s="20">
        <v>17</v>
      </c>
      <c r="B20" s="20" t="s">
        <v>122</v>
      </c>
      <c r="C20" s="21" t="s">
        <v>122</v>
      </c>
      <c r="D20" s="21" t="s">
        <v>122</v>
      </c>
      <c r="E20" s="21" t="s">
        <v>122</v>
      </c>
      <c r="F20" s="21" t="s">
        <v>122</v>
      </c>
      <c r="G20" s="20" t="s">
        <v>122</v>
      </c>
      <c r="H20" s="20" t="s">
        <v>122</v>
      </c>
      <c r="I20" s="21" t="s">
        <v>122</v>
      </c>
      <c r="J20" s="20" t="e">
        <f t="shared" si="1"/>
        <v>#VALUE!</v>
      </c>
      <c r="K20" s="20" t="e">
        <f t="shared" si="0"/>
        <v>#VALUE!</v>
      </c>
      <c r="L20" s="21" t="s">
        <v>122</v>
      </c>
      <c r="M20" s="21" t="s">
        <v>122</v>
      </c>
      <c r="N20" s="21" t="s">
        <v>122</v>
      </c>
    </row>
    <row r="21" spans="1:14" ht="20" customHeight="1" x14ac:dyDescent="0.35">
      <c r="A21" s="20">
        <v>18</v>
      </c>
      <c r="B21" s="20" t="s">
        <v>122</v>
      </c>
      <c r="C21" s="21" t="s">
        <v>122</v>
      </c>
      <c r="D21" s="21" t="s">
        <v>122</v>
      </c>
      <c r="E21" s="21" t="s">
        <v>122</v>
      </c>
      <c r="F21" s="21" t="s">
        <v>122</v>
      </c>
      <c r="G21" s="20" t="s">
        <v>122</v>
      </c>
      <c r="H21" s="20" t="s">
        <v>122</v>
      </c>
      <c r="I21" s="21" t="s">
        <v>122</v>
      </c>
      <c r="J21" s="20" t="e">
        <f t="shared" si="1"/>
        <v>#VALUE!</v>
      </c>
      <c r="K21" s="20" t="e">
        <f t="shared" si="0"/>
        <v>#VALUE!</v>
      </c>
      <c r="L21" s="21" t="s">
        <v>122</v>
      </c>
      <c r="M21" s="21" t="s">
        <v>122</v>
      </c>
      <c r="N21" s="21" t="s">
        <v>122</v>
      </c>
    </row>
    <row r="22" spans="1:14" ht="20" customHeight="1" x14ac:dyDescent="0.35">
      <c r="A22" s="20">
        <v>19</v>
      </c>
      <c r="B22" s="20" t="s">
        <v>122</v>
      </c>
      <c r="C22" s="21" t="s">
        <v>122</v>
      </c>
      <c r="D22" s="21" t="s">
        <v>122</v>
      </c>
      <c r="E22" s="21" t="s">
        <v>122</v>
      </c>
      <c r="F22" s="21" t="s">
        <v>122</v>
      </c>
      <c r="G22" s="20" t="s">
        <v>122</v>
      </c>
      <c r="H22" s="20" t="s">
        <v>122</v>
      </c>
      <c r="I22" s="21" t="s">
        <v>122</v>
      </c>
      <c r="J22" s="20" t="e">
        <f t="shared" si="1"/>
        <v>#VALUE!</v>
      </c>
      <c r="K22" s="20" t="e">
        <f t="shared" si="0"/>
        <v>#VALUE!</v>
      </c>
      <c r="L22" s="21" t="s">
        <v>122</v>
      </c>
      <c r="M22" s="21" t="s">
        <v>122</v>
      </c>
      <c r="N22" s="21" t="s">
        <v>122</v>
      </c>
    </row>
    <row r="23" spans="1:14" ht="20" customHeight="1" x14ac:dyDescent="0.35">
      <c r="A23" s="20">
        <v>20</v>
      </c>
      <c r="B23" s="20" t="s">
        <v>122</v>
      </c>
      <c r="C23" s="21" t="s">
        <v>122</v>
      </c>
      <c r="D23" s="21" t="s">
        <v>122</v>
      </c>
      <c r="E23" s="21" t="s">
        <v>122</v>
      </c>
      <c r="F23" s="21" t="s">
        <v>122</v>
      </c>
      <c r="G23" s="20" t="s">
        <v>122</v>
      </c>
      <c r="H23" s="20" t="s">
        <v>122</v>
      </c>
      <c r="I23" s="21" t="s">
        <v>122</v>
      </c>
      <c r="J23" s="20" t="e">
        <f t="shared" si="1"/>
        <v>#VALUE!</v>
      </c>
      <c r="K23" s="20" t="e">
        <f t="shared" si="0"/>
        <v>#VALUE!</v>
      </c>
      <c r="L23" s="21" t="s">
        <v>122</v>
      </c>
      <c r="M23" s="21" t="s">
        <v>122</v>
      </c>
      <c r="N23" s="21" t="s">
        <v>122</v>
      </c>
    </row>
    <row r="24" spans="1:14" ht="20" customHeight="1" x14ac:dyDescent="0.35">
      <c r="A24" s="20">
        <v>21</v>
      </c>
      <c r="B24" s="20" t="s">
        <v>122</v>
      </c>
      <c r="C24" s="21" t="s">
        <v>122</v>
      </c>
      <c r="D24" s="21" t="s">
        <v>122</v>
      </c>
      <c r="E24" s="21" t="s">
        <v>122</v>
      </c>
      <c r="F24" s="21" t="s">
        <v>122</v>
      </c>
      <c r="G24" s="20" t="s">
        <v>122</v>
      </c>
      <c r="H24" s="20" t="s">
        <v>122</v>
      </c>
      <c r="I24" s="21" t="s">
        <v>122</v>
      </c>
      <c r="J24" s="20" t="e">
        <f t="shared" si="1"/>
        <v>#VALUE!</v>
      </c>
      <c r="K24" s="20" t="e">
        <f t="shared" si="0"/>
        <v>#VALUE!</v>
      </c>
      <c r="L24" s="21" t="s">
        <v>122</v>
      </c>
      <c r="M24" s="21" t="s">
        <v>122</v>
      </c>
      <c r="N24" s="21" t="s">
        <v>122</v>
      </c>
    </row>
    <row r="25" spans="1:14" ht="20" customHeight="1" x14ac:dyDescent="0.35">
      <c r="A25" s="20">
        <v>22</v>
      </c>
      <c r="B25" s="20" t="s">
        <v>122</v>
      </c>
      <c r="C25" s="21" t="s">
        <v>122</v>
      </c>
      <c r="D25" s="21" t="s">
        <v>122</v>
      </c>
      <c r="E25" s="21" t="s">
        <v>122</v>
      </c>
      <c r="F25" s="21" t="s">
        <v>122</v>
      </c>
      <c r="G25" s="20" t="s">
        <v>122</v>
      </c>
      <c r="H25" s="20" t="s">
        <v>122</v>
      </c>
      <c r="I25" s="21" t="s">
        <v>122</v>
      </c>
      <c r="J25" s="20" t="e">
        <f t="shared" si="1"/>
        <v>#VALUE!</v>
      </c>
      <c r="K25" s="20" t="e">
        <f t="shared" si="0"/>
        <v>#VALUE!</v>
      </c>
      <c r="L25" s="21" t="s">
        <v>122</v>
      </c>
      <c r="M25" s="21" t="s">
        <v>122</v>
      </c>
      <c r="N25" s="21" t="s">
        <v>122</v>
      </c>
    </row>
    <row r="26" spans="1:14" ht="20" customHeight="1" x14ac:dyDescent="0.35">
      <c r="A26" s="20">
        <v>23</v>
      </c>
      <c r="B26" s="20" t="s">
        <v>122</v>
      </c>
      <c r="C26" s="21" t="s">
        <v>122</v>
      </c>
      <c r="D26" s="21" t="s">
        <v>122</v>
      </c>
      <c r="E26" s="21" t="s">
        <v>122</v>
      </c>
      <c r="F26" s="21" t="s">
        <v>122</v>
      </c>
      <c r="G26" s="20" t="s">
        <v>122</v>
      </c>
      <c r="H26" s="20" t="s">
        <v>122</v>
      </c>
      <c r="I26" s="21" t="s">
        <v>122</v>
      </c>
      <c r="J26" s="20" t="e">
        <f t="shared" si="1"/>
        <v>#VALUE!</v>
      </c>
      <c r="K26" s="20" t="e">
        <f t="shared" si="0"/>
        <v>#VALUE!</v>
      </c>
      <c r="L26" s="21" t="s">
        <v>122</v>
      </c>
      <c r="M26" s="21" t="s">
        <v>122</v>
      </c>
      <c r="N26" s="21" t="s">
        <v>122</v>
      </c>
    </row>
    <row r="27" spans="1:14" ht="20" customHeight="1" x14ac:dyDescent="0.35">
      <c r="A27" s="20">
        <v>24</v>
      </c>
      <c r="B27" s="20" t="s">
        <v>122</v>
      </c>
      <c r="C27" s="21" t="s">
        <v>122</v>
      </c>
      <c r="D27" s="21" t="s">
        <v>122</v>
      </c>
      <c r="E27" s="21" t="s">
        <v>122</v>
      </c>
      <c r="F27" s="21" t="s">
        <v>122</v>
      </c>
      <c r="G27" s="20" t="s">
        <v>122</v>
      </c>
      <c r="H27" s="20" t="s">
        <v>122</v>
      </c>
      <c r="I27" s="21" t="s">
        <v>122</v>
      </c>
      <c r="J27" s="20" t="e">
        <f t="shared" si="1"/>
        <v>#VALUE!</v>
      </c>
      <c r="K27" s="20" t="e">
        <f t="shared" si="0"/>
        <v>#VALUE!</v>
      </c>
      <c r="L27" s="21" t="s">
        <v>122</v>
      </c>
      <c r="M27" s="21" t="s">
        <v>122</v>
      </c>
      <c r="N27" s="21" t="s">
        <v>122</v>
      </c>
    </row>
    <row r="28" spans="1:14" ht="20" customHeight="1" x14ac:dyDescent="0.35">
      <c r="A28" s="20">
        <v>25</v>
      </c>
      <c r="B28" s="20" t="s">
        <v>122</v>
      </c>
      <c r="C28" s="21" t="s">
        <v>122</v>
      </c>
      <c r="D28" s="21" t="s">
        <v>122</v>
      </c>
      <c r="E28" s="21" t="s">
        <v>122</v>
      </c>
      <c r="F28" s="21" t="s">
        <v>122</v>
      </c>
      <c r="G28" s="20" t="s">
        <v>122</v>
      </c>
      <c r="H28" s="20" t="s">
        <v>122</v>
      </c>
      <c r="I28" s="21" t="s">
        <v>122</v>
      </c>
      <c r="J28" s="20" t="e">
        <f t="shared" si="1"/>
        <v>#VALUE!</v>
      </c>
      <c r="K28" s="20" t="e">
        <f t="shared" si="0"/>
        <v>#VALUE!</v>
      </c>
      <c r="L28" s="21" t="s">
        <v>122</v>
      </c>
      <c r="M28" s="21" t="s">
        <v>122</v>
      </c>
      <c r="N28" s="21" t="s">
        <v>122</v>
      </c>
    </row>
    <row r="29" spans="1:14" ht="20" customHeight="1" x14ac:dyDescent="0.35">
      <c r="A29" s="20">
        <v>26</v>
      </c>
      <c r="B29" s="20" t="s">
        <v>122</v>
      </c>
      <c r="C29" s="21" t="s">
        <v>122</v>
      </c>
      <c r="D29" s="21" t="s">
        <v>122</v>
      </c>
      <c r="E29" s="21" t="s">
        <v>122</v>
      </c>
      <c r="F29" s="21" t="s">
        <v>122</v>
      </c>
      <c r="G29" s="20" t="s">
        <v>122</v>
      </c>
      <c r="H29" s="20" t="s">
        <v>122</v>
      </c>
      <c r="I29" s="21" t="s">
        <v>122</v>
      </c>
      <c r="J29" s="20" t="e">
        <f t="shared" si="1"/>
        <v>#VALUE!</v>
      </c>
      <c r="K29" s="20" t="e">
        <f t="shared" si="0"/>
        <v>#VALUE!</v>
      </c>
      <c r="L29" s="21" t="s">
        <v>122</v>
      </c>
      <c r="M29" s="21" t="s">
        <v>122</v>
      </c>
      <c r="N29" s="21" t="s">
        <v>122</v>
      </c>
    </row>
    <row r="30" spans="1:14" ht="20" customHeight="1" x14ac:dyDescent="0.35">
      <c r="A30" s="20">
        <v>27</v>
      </c>
      <c r="B30" s="20" t="s">
        <v>122</v>
      </c>
      <c r="C30" s="21" t="s">
        <v>122</v>
      </c>
      <c r="D30" s="21" t="s">
        <v>122</v>
      </c>
      <c r="E30" s="21" t="s">
        <v>122</v>
      </c>
      <c r="F30" s="21" t="s">
        <v>122</v>
      </c>
      <c r="G30" s="20" t="s">
        <v>122</v>
      </c>
      <c r="H30" s="20" t="s">
        <v>122</v>
      </c>
      <c r="I30" s="21" t="s">
        <v>122</v>
      </c>
      <c r="J30" s="20" t="e">
        <f t="shared" si="1"/>
        <v>#VALUE!</v>
      </c>
      <c r="K30" s="20" t="e">
        <f t="shared" si="0"/>
        <v>#VALUE!</v>
      </c>
      <c r="L30" s="21" t="s">
        <v>122</v>
      </c>
      <c r="M30" s="21" t="s">
        <v>122</v>
      </c>
      <c r="N30" s="21" t="s">
        <v>122</v>
      </c>
    </row>
    <row r="31" spans="1:14" ht="20" customHeight="1" x14ac:dyDescent="0.35">
      <c r="A31" s="20">
        <v>28</v>
      </c>
      <c r="B31" s="20" t="s">
        <v>122</v>
      </c>
      <c r="C31" s="21" t="s">
        <v>122</v>
      </c>
      <c r="D31" s="21" t="s">
        <v>122</v>
      </c>
      <c r="E31" s="21" t="s">
        <v>122</v>
      </c>
      <c r="F31" s="21" t="s">
        <v>122</v>
      </c>
      <c r="G31" s="20" t="s">
        <v>122</v>
      </c>
      <c r="H31" s="20" t="s">
        <v>122</v>
      </c>
      <c r="I31" s="21" t="s">
        <v>122</v>
      </c>
      <c r="J31" s="20" t="e">
        <f t="shared" si="1"/>
        <v>#VALUE!</v>
      </c>
      <c r="K31" s="20" t="e">
        <f t="shared" si="0"/>
        <v>#VALUE!</v>
      </c>
      <c r="L31" s="21" t="s">
        <v>122</v>
      </c>
      <c r="M31" s="21" t="s">
        <v>122</v>
      </c>
      <c r="N31" s="21" t="s">
        <v>122</v>
      </c>
    </row>
    <row r="32" spans="1:14" ht="20" customHeight="1" x14ac:dyDescent="0.35">
      <c r="A32" s="20">
        <v>29</v>
      </c>
      <c r="B32" s="20" t="s">
        <v>122</v>
      </c>
      <c r="C32" s="21" t="s">
        <v>122</v>
      </c>
      <c r="D32" s="21" t="s">
        <v>122</v>
      </c>
      <c r="E32" s="21" t="s">
        <v>122</v>
      </c>
      <c r="F32" s="21" t="s">
        <v>122</v>
      </c>
      <c r="G32" s="20" t="s">
        <v>122</v>
      </c>
      <c r="H32" s="20" t="s">
        <v>122</v>
      </c>
      <c r="I32" s="21" t="s">
        <v>122</v>
      </c>
      <c r="J32" s="20" t="e">
        <f t="shared" si="1"/>
        <v>#VALUE!</v>
      </c>
      <c r="K32" s="20" t="e">
        <f t="shared" si="0"/>
        <v>#VALUE!</v>
      </c>
      <c r="L32" s="21" t="s">
        <v>122</v>
      </c>
      <c r="M32" s="21" t="s">
        <v>122</v>
      </c>
      <c r="N32" s="21" t="s">
        <v>122</v>
      </c>
    </row>
    <row r="33" spans="1:14" ht="20" customHeight="1" x14ac:dyDescent="0.35">
      <c r="A33" s="20">
        <v>30</v>
      </c>
      <c r="B33" s="20" t="s">
        <v>122</v>
      </c>
      <c r="C33" s="21" t="s">
        <v>122</v>
      </c>
      <c r="D33" s="21" t="s">
        <v>122</v>
      </c>
      <c r="E33" s="21" t="s">
        <v>122</v>
      </c>
      <c r="F33" s="21" t="s">
        <v>122</v>
      </c>
      <c r="G33" s="20" t="s">
        <v>122</v>
      </c>
      <c r="H33" s="20" t="s">
        <v>122</v>
      </c>
      <c r="I33" s="21" t="s">
        <v>122</v>
      </c>
      <c r="J33" s="20" t="e">
        <f t="shared" si="1"/>
        <v>#VALUE!</v>
      </c>
      <c r="K33" s="20" t="e">
        <f t="shared" si="0"/>
        <v>#VALUE!</v>
      </c>
      <c r="L33" s="21" t="s">
        <v>122</v>
      </c>
      <c r="M33" s="21" t="s">
        <v>122</v>
      </c>
      <c r="N33" s="21" t="s">
        <v>122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"/>
  <sheetViews>
    <sheetView rightToLeft="1" workbookViewId="0"/>
  </sheetViews>
  <sheetFormatPr defaultRowHeight="14.5" x14ac:dyDescent="0.35"/>
  <cols>
    <col min="1" max="1" width="6" customWidth="1"/>
    <col min="2" max="3" width="12" customWidth="1"/>
    <col min="4" max="4" width="10" customWidth="1"/>
    <col min="5" max="5" width="30" customWidth="1"/>
    <col min="6" max="6" width="20" customWidth="1"/>
    <col min="7" max="9" width="12" customWidth="1"/>
    <col min="10" max="10" width="14" customWidth="1"/>
    <col min="11" max="11" width="18" customWidth="1"/>
    <col min="12" max="12" width="20" customWidth="1"/>
    <col min="13" max="14" width="14" customWidth="1"/>
  </cols>
  <sheetData>
    <row r="1" spans="1:14" ht="32" customHeight="1" x14ac:dyDescent="0.35">
      <c r="A1" s="24" t="s">
        <v>144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22" customHeight="1" x14ac:dyDescent="0.35">
      <c r="A2" s="15" t="s">
        <v>1</v>
      </c>
      <c r="C2" s="15" t="s">
        <v>119</v>
      </c>
      <c r="D2" s="16">
        <v>5000</v>
      </c>
    </row>
    <row r="3" spans="1:14" ht="26" customHeight="1" x14ac:dyDescent="0.35">
      <c r="A3" s="17" t="s">
        <v>3</v>
      </c>
      <c r="B3" s="17" t="s">
        <v>4</v>
      </c>
      <c r="C3" s="17" t="s">
        <v>5</v>
      </c>
      <c r="D3" s="17" t="s">
        <v>120</v>
      </c>
      <c r="E3" s="17" t="s">
        <v>7</v>
      </c>
      <c r="F3" s="17" t="s">
        <v>8</v>
      </c>
      <c r="G3" s="17" t="s">
        <v>9</v>
      </c>
      <c r="H3" s="17" t="s">
        <v>10</v>
      </c>
      <c r="I3" s="17" t="s">
        <v>11</v>
      </c>
      <c r="J3" s="17" t="s">
        <v>12</v>
      </c>
      <c r="K3" s="17" t="s">
        <v>13</v>
      </c>
      <c r="L3" s="17" t="s">
        <v>14</v>
      </c>
      <c r="M3" s="17" t="s">
        <v>15</v>
      </c>
      <c r="N3" s="17" t="s">
        <v>16</v>
      </c>
    </row>
    <row r="4" spans="1:14" ht="22" customHeight="1" x14ac:dyDescent="0.35">
      <c r="A4" s="18">
        <v>1</v>
      </c>
      <c r="B4" s="18" t="s">
        <v>121</v>
      </c>
      <c r="C4" s="19">
        <v>0</v>
      </c>
      <c r="D4" s="19" t="s">
        <v>122</v>
      </c>
      <c r="E4" s="19" t="s">
        <v>123</v>
      </c>
      <c r="F4" s="19" t="s">
        <v>124</v>
      </c>
      <c r="G4" s="18" t="s">
        <v>122</v>
      </c>
      <c r="H4" s="18">
        <v>5000</v>
      </c>
      <c r="I4" s="19" t="s">
        <v>125</v>
      </c>
      <c r="J4" s="18" t="e">
        <f>C4-G4+H4</f>
        <v>#VALUE!</v>
      </c>
      <c r="K4" s="18" t="e">
        <f t="shared" ref="K4:K33" si="0">IF(J4&lt;200,"تنبيه: اعد التعبئة","مقبول")</f>
        <v>#VALUE!</v>
      </c>
      <c r="L4" s="19" t="s">
        <v>126</v>
      </c>
      <c r="M4" s="19" t="s">
        <v>127</v>
      </c>
      <c r="N4" s="19" t="s">
        <v>128</v>
      </c>
    </row>
    <row r="5" spans="1:14" ht="22" customHeight="1" x14ac:dyDescent="0.35">
      <c r="A5" s="18">
        <v>2</v>
      </c>
      <c r="B5" s="18" t="s">
        <v>129</v>
      </c>
      <c r="C5" s="19" t="s">
        <v>122</v>
      </c>
      <c r="D5" s="19" t="s">
        <v>122</v>
      </c>
      <c r="E5" s="19" t="s">
        <v>130</v>
      </c>
      <c r="F5" s="19" t="s">
        <v>131</v>
      </c>
      <c r="G5" s="18">
        <v>450</v>
      </c>
      <c r="H5" s="18" t="s">
        <v>122</v>
      </c>
      <c r="I5" s="19" t="s">
        <v>132</v>
      </c>
      <c r="J5" s="18" t="e">
        <f t="shared" ref="J5:J33" si="1">J4-G5+H5</f>
        <v>#VALUE!</v>
      </c>
      <c r="K5" s="18" t="e">
        <f t="shared" si="0"/>
        <v>#VALUE!</v>
      </c>
      <c r="L5" s="19" t="s">
        <v>133</v>
      </c>
      <c r="M5" s="19" t="s">
        <v>127</v>
      </c>
      <c r="N5" s="19" t="s">
        <v>128</v>
      </c>
    </row>
    <row r="6" spans="1:14" ht="22" customHeight="1" x14ac:dyDescent="0.35">
      <c r="A6" s="18">
        <v>3</v>
      </c>
      <c r="B6" s="18" t="s">
        <v>134</v>
      </c>
      <c r="C6" s="19" t="s">
        <v>122</v>
      </c>
      <c r="D6" s="19" t="s">
        <v>122</v>
      </c>
      <c r="E6" s="19" t="s">
        <v>135</v>
      </c>
      <c r="F6" s="19" t="s">
        <v>136</v>
      </c>
      <c r="G6" s="18">
        <v>320</v>
      </c>
      <c r="H6" s="18" t="s">
        <v>122</v>
      </c>
      <c r="I6" s="19" t="s">
        <v>137</v>
      </c>
      <c r="J6" s="18" t="e">
        <f t="shared" si="1"/>
        <v>#VALUE!</v>
      </c>
      <c r="K6" s="18" t="e">
        <f t="shared" si="0"/>
        <v>#VALUE!</v>
      </c>
      <c r="L6" s="19" t="s">
        <v>138</v>
      </c>
      <c r="M6" s="19" t="s">
        <v>127</v>
      </c>
      <c r="N6" s="19" t="s">
        <v>128</v>
      </c>
    </row>
    <row r="7" spans="1:14" ht="22" customHeight="1" x14ac:dyDescent="0.35">
      <c r="A7" s="18">
        <v>4</v>
      </c>
      <c r="B7" s="18" t="s">
        <v>139</v>
      </c>
      <c r="C7" s="19" t="s">
        <v>122</v>
      </c>
      <c r="D7" s="19" t="s">
        <v>122</v>
      </c>
      <c r="E7" s="19" t="s">
        <v>140</v>
      </c>
      <c r="F7" s="19" t="s">
        <v>141</v>
      </c>
      <c r="G7" s="18" t="s">
        <v>122</v>
      </c>
      <c r="H7" s="18">
        <v>650</v>
      </c>
      <c r="I7" s="19" t="s">
        <v>142</v>
      </c>
      <c r="J7" s="18" t="e">
        <f t="shared" si="1"/>
        <v>#VALUE!</v>
      </c>
      <c r="K7" s="18" t="e">
        <f t="shared" si="0"/>
        <v>#VALUE!</v>
      </c>
      <c r="L7" s="19" t="s">
        <v>143</v>
      </c>
      <c r="M7" s="19" t="s">
        <v>127</v>
      </c>
      <c r="N7" s="19" t="s">
        <v>128</v>
      </c>
    </row>
    <row r="8" spans="1:14" ht="20" customHeight="1" x14ac:dyDescent="0.35">
      <c r="A8" s="20">
        <v>5</v>
      </c>
      <c r="B8" s="20" t="s">
        <v>122</v>
      </c>
      <c r="C8" s="21" t="s">
        <v>122</v>
      </c>
      <c r="D8" s="21" t="s">
        <v>122</v>
      </c>
      <c r="E8" s="21" t="s">
        <v>122</v>
      </c>
      <c r="F8" s="21" t="s">
        <v>122</v>
      </c>
      <c r="G8" s="20" t="s">
        <v>122</v>
      </c>
      <c r="H8" s="20" t="s">
        <v>122</v>
      </c>
      <c r="I8" s="21" t="s">
        <v>122</v>
      </c>
      <c r="J8" s="20" t="e">
        <f t="shared" si="1"/>
        <v>#VALUE!</v>
      </c>
      <c r="K8" s="20" t="e">
        <f t="shared" si="0"/>
        <v>#VALUE!</v>
      </c>
      <c r="L8" s="21" t="s">
        <v>122</v>
      </c>
      <c r="M8" s="21" t="s">
        <v>122</v>
      </c>
      <c r="N8" s="21" t="s">
        <v>122</v>
      </c>
    </row>
    <row r="9" spans="1:14" ht="20" customHeight="1" x14ac:dyDescent="0.35">
      <c r="A9" s="20">
        <v>6</v>
      </c>
      <c r="B9" s="20" t="s">
        <v>122</v>
      </c>
      <c r="C9" s="21" t="s">
        <v>122</v>
      </c>
      <c r="D9" s="21" t="s">
        <v>122</v>
      </c>
      <c r="E9" s="21" t="s">
        <v>122</v>
      </c>
      <c r="F9" s="21" t="s">
        <v>122</v>
      </c>
      <c r="G9" s="20" t="s">
        <v>122</v>
      </c>
      <c r="H9" s="20" t="s">
        <v>122</v>
      </c>
      <c r="I9" s="21" t="s">
        <v>122</v>
      </c>
      <c r="J9" s="20" t="e">
        <f t="shared" si="1"/>
        <v>#VALUE!</v>
      </c>
      <c r="K9" s="20" t="e">
        <f t="shared" si="0"/>
        <v>#VALUE!</v>
      </c>
      <c r="L9" s="21" t="s">
        <v>122</v>
      </c>
      <c r="M9" s="21" t="s">
        <v>122</v>
      </c>
      <c r="N9" s="21" t="s">
        <v>122</v>
      </c>
    </row>
    <row r="10" spans="1:14" ht="20" customHeight="1" x14ac:dyDescent="0.35">
      <c r="A10" s="20">
        <v>7</v>
      </c>
      <c r="B10" s="20" t="s">
        <v>122</v>
      </c>
      <c r="C10" s="21" t="s">
        <v>122</v>
      </c>
      <c r="D10" s="21" t="s">
        <v>122</v>
      </c>
      <c r="E10" s="21" t="s">
        <v>122</v>
      </c>
      <c r="F10" s="21" t="s">
        <v>122</v>
      </c>
      <c r="G10" s="20" t="s">
        <v>122</v>
      </c>
      <c r="H10" s="20" t="s">
        <v>122</v>
      </c>
      <c r="I10" s="21" t="s">
        <v>122</v>
      </c>
      <c r="J10" s="20" t="e">
        <f t="shared" si="1"/>
        <v>#VALUE!</v>
      </c>
      <c r="K10" s="20" t="e">
        <f t="shared" si="0"/>
        <v>#VALUE!</v>
      </c>
      <c r="L10" s="21" t="s">
        <v>122</v>
      </c>
      <c r="M10" s="21" t="s">
        <v>122</v>
      </c>
      <c r="N10" s="21" t="s">
        <v>122</v>
      </c>
    </row>
    <row r="11" spans="1:14" ht="20" customHeight="1" x14ac:dyDescent="0.35">
      <c r="A11" s="20">
        <v>8</v>
      </c>
      <c r="B11" s="20" t="s">
        <v>122</v>
      </c>
      <c r="C11" s="21" t="s">
        <v>122</v>
      </c>
      <c r="D11" s="21" t="s">
        <v>122</v>
      </c>
      <c r="E11" s="21" t="s">
        <v>122</v>
      </c>
      <c r="F11" s="21" t="s">
        <v>122</v>
      </c>
      <c r="G11" s="20" t="s">
        <v>122</v>
      </c>
      <c r="H11" s="20" t="s">
        <v>122</v>
      </c>
      <c r="I11" s="21" t="s">
        <v>122</v>
      </c>
      <c r="J11" s="20" t="e">
        <f t="shared" si="1"/>
        <v>#VALUE!</v>
      </c>
      <c r="K11" s="20" t="e">
        <f t="shared" si="0"/>
        <v>#VALUE!</v>
      </c>
      <c r="L11" s="21" t="s">
        <v>122</v>
      </c>
      <c r="M11" s="21" t="s">
        <v>122</v>
      </c>
      <c r="N11" s="21" t="s">
        <v>122</v>
      </c>
    </row>
    <row r="12" spans="1:14" ht="20" customHeight="1" x14ac:dyDescent="0.35">
      <c r="A12" s="20">
        <v>9</v>
      </c>
      <c r="B12" s="20" t="s">
        <v>122</v>
      </c>
      <c r="C12" s="21" t="s">
        <v>122</v>
      </c>
      <c r="D12" s="21" t="s">
        <v>122</v>
      </c>
      <c r="E12" s="21" t="s">
        <v>122</v>
      </c>
      <c r="F12" s="21" t="s">
        <v>122</v>
      </c>
      <c r="G12" s="20" t="s">
        <v>122</v>
      </c>
      <c r="H12" s="20" t="s">
        <v>122</v>
      </c>
      <c r="I12" s="21" t="s">
        <v>122</v>
      </c>
      <c r="J12" s="20" t="e">
        <f t="shared" si="1"/>
        <v>#VALUE!</v>
      </c>
      <c r="K12" s="20" t="e">
        <f t="shared" si="0"/>
        <v>#VALUE!</v>
      </c>
      <c r="L12" s="21" t="s">
        <v>122</v>
      </c>
      <c r="M12" s="21" t="s">
        <v>122</v>
      </c>
      <c r="N12" s="21" t="s">
        <v>122</v>
      </c>
    </row>
    <row r="13" spans="1:14" ht="20" customHeight="1" x14ac:dyDescent="0.35">
      <c r="A13" s="20">
        <v>10</v>
      </c>
      <c r="B13" s="20" t="s">
        <v>122</v>
      </c>
      <c r="C13" s="21" t="s">
        <v>122</v>
      </c>
      <c r="D13" s="21" t="s">
        <v>122</v>
      </c>
      <c r="E13" s="21" t="s">
        <v>122</v>
      </c>
      <c r="F13" s="21" t="s">
        <v>122</v>
      </c>
      <c r="G13" s="20" t="s">
        <v>122</v>
      </c>
      <c r="H13" s="20" t="s">
        <v>122</v>
      </c>
      <c r="I13" s="21" t="s">
        <v>122</v>
      </c>
      <c r="J13" s="20" t="e">
        <f t="shared" si="1"/>
        <v>#VALUE!</v>
      </c>
      <c r="K13" s="20" t="e">
        <f t="shared" si="0"/>
        <v>#VALUE!</v>
      </c>
      <c r="L13" s="21" t="s">
        <v>122</v>
      </c>
      <c r="M13" s="21" t="s">
        <v>122</v>
      </c>
      <c r="N13" s="21" t="s">
        <v>122</v>
      </c>
    </row>
    <row r="14" spans="1:14" ht="20" customHeight="1" x14ac:dyDescent="0.35">
      <c r="A14" s="20">
        <v>11</v>
      </c>
      <c r="B14" s="20" t="s">
        <v>122</v>
      </c>
      <c r="C14" s="21" t="s">
        <v>122</v>
      </c>
      <c r="D14" s="21" t="s">
        <v>122</v>
      </c>
      <c r="E14" s="21" t="s">
        <v>122</v>
      </c>
      <c r="F14" s="21" t="s">
        <v>122</v>
      </c>
      <c r="G14" s="20" t="s">
        <v>122</v>
      </c>
      <c r="H14" s="20" t="s">
        <v>122</v>
      </c>
      <c r="I14" s="21" t="s">
        <v>122</v>
      </c>
      <c r="J14" s="20" t="e">
        <f t="shared" si="1"/>
        <v>#VALUE!</v>
      </c>
      <c r="K14" s="20" t="e">
        <f t="shared" si="0"/>
        <v>#VALUE!</v>
      </c>
      <c r="L14" s="21" t="s">
        <v>122</v>
      </c>
      <c r="M14" s="21" t="s">
        <v>122</v>
      </c>
      <c r="N14" s="21" t="s">
        <v>122</v>
      </c>
    </row>
    <row r="15" spans="1:14" ht="20" customHeight="1" x14ac:dyDescent="0.35">
      <c r="A15" s="20">
        <v>12</v>
      </c>
      <c r="B15" s="20" t="s">
        <v>122</v>
      </c>
      <c r="C15" s="21" t="s">
        <v>122</v>
      </c>
      <c r="D15" s="21" t="s">
        <v>122</v>
      </c>
      <c r="E15" s="21" t="s">
        <v>122</v>
      </c>
      <c r="F15" s="21" t="s">
        <v>122</v>
      </c>
      <c r="G15" s="20" t="s">
        <v>122</v>
      </c>
      <c r="H15" s="20" t="s">
        <v>122</v>
      </c>
      <c r="I15" s="21" t="s">
        <v>122</v>
      </c>
      <c r="J15" s="20" t="e">
        <f t="shared" si="1"/>
        <v>#VALUE!</v>
      </c>
      <c r="K15" s="20" t="e">
        <f t="shared" si="0"/>
        <v>#VALUE!</v>
      </c>
      <c r="L15" s="21" t="s">
        <v>122</v>
      </c>
      <c r="M15" s="21" t="s">
        <v>122</v>
      </c>
      <c r="N15" s="21" t="s">
        <v>122</v>
      </c>
    </row>
    <row r="16" spans="1:14" ht="20" customHeight="1" x14ac:dyDescent="0.35">
      <c r="A16" s="20">
        <v>13</v>
      </c>
      <c r="B16" s="20" t="s">
        <v>122</v>
      </c>
      <c r="C16" s="21" t="s">
        <v>122</v>
      </c>
      <c r="D16" s="21" t="s">
        <v>122</v>
      </c>
      <c r="E16" s="21" t="s">
        <v>122</v>
      </c>
      <c r="F16" s="21" t="s">
        <v>122</v>
      </c>
      <c r="G16" s="20" t="s">
        <v>122</v>
      </c>
      <c r="H16" s="20" t="s">
        <v>122</v>
      </c>
      <c r="I16" s="21" t="s">
        <v>122</v>
      </c>
      <c r="J16" s="20" t="e">
        <f t="shared" si="1"/>
        <v>#VALUE!</v>
      </c>
      <c r="K16" s="20" t="e">
        <f t="shared" si="0"/>
        <v>#VALUE!</v>
      </c>
      <c r="L16" s="21" t="s">
        <v>122</v>
      </c>
      <c r="M16" s="21" t="s">
        <v>122</v>
      </c>
      <c r="N16" s="21" t="s">
        <v>122</v>
      </c>
    </row>
    <row r="17" spans="1:14" ht="20" customHeight="1" x14ac:dyDescent="0.35">
      <c r="A17" s="20">
        <v>14</v>
      </c>
      <c r="B17" s="20" t="s">
        <v>122</v>
      </c>
      <c r="C17" s="21" t="s">
        <v>122</v>
      </c>
      <c r="D17" s="21" t="s">
        <v>122</v>
      </c>
      <c r="E17" s="21" t="s">
        <v>122</v>
      </c>
      <c r="F17" s="21" t="s">
        <v>122</v>
      </c>
      <c r="G17" s="20" t="s">
        <v>122</v>
      </c>
      <c r="H17" s="20" t="s">
        <v>122</v>
      </c>
      <c r="I17" s="21" t="s">
        <v>122</v>
      </c>
      <c r="J17" s="20" t="e">
        <f t="shared" si="1"/>
        <v>#VALUE!</v>
      </c>
      <c r="K17" s="20" t="e">
        <f t="shared" si="0"/>
        <v>#VALUE!</v>
      </c>
      <c r="L17" s="21" t="s">
        <v>122</v>
      </c>
      <c r="M17" s="21" t="s">
        <v>122</v>
      </c>
      <c r="N17" s="21" t="s">
        <v>122</v>
      </c>
    </row>
    <row r="18" spans="1:14" ht="20" customHeight="1" x14ac:dyDescent="0.35">
      <c r="A18" s="20">
        <v>15</v>
      </c>
      <c r="B18" s="20" t="s">
        <v>122</v>
      </c>
      <c r="C18" s="21" t="s">
        <v>122</v>
      </c>
      <c r="D18" s="21" t="s">
        <v>122</v>
      </c>
      <c r="E18" s="21" t="s">
        <v>122</v>
      </c>
      <c r="F18" s="21" t="s">
        <v>122</v>
      </c>
      <c r="G18" s="20" t="s">
        <v>122</v>
      </c>
      <c r="H18" s="20" t="s">
        <v>122</v>
      </c>
      <c r="I18" s="21" t="s">
        <v>122</v>
      </c>
      <c r="J18" s="20" t="e">
        <f t="shared" si="1"/>
        <v>#VALUE!</v>
      </c>
      <c r="K18" s="20" t="e">
        <f t="shared" si="0"/>
        <v>#VALUE!</v>
      </c>
      <c r="L18" s="21" t="s">
        <v>122</v>
      </c>
      <c r="M18" s="21" t="s">
        <v>122</v>
      </c>
      <c r="N18" s="21" t="s">
        <v>122</v>
      </c>
    </row>
    <row r="19" spans="1:14" ht="20" customHeight="1" x14ac:dyDescent="0.35">
      <c r="A19" s="20">
        <v>16</v>
      </c>
      <c r="B19" s="20" t="s">
        <v>122</v>
      </c>
      <c r="C19" s="21" t="s">
        <v>122</v>
      </c>
      <c r="D19" s="21" t="s">
        <v>122</v>
      </c>
      <c r="E19" s="21" t="s">
        <v>122</v>
      </c>
      <c r="F19" s="21" t="s">
        <v>122</v>
      </c>
      <c r="G19" s="20" t="s">
        <v>122</v>
      </c>
      <c r="H19" s="20" t="s">
        <v>122</v>
      </c>
      <c r="I19" s="21" t="s">
        <v>122</v>
      </c>
      <c r="J19" s="20" t="e">
        <f t="shared" si="1"/>
        <v>#VALUE!</v>
      </c>
      <c r="K19" s="20" t="e">
        <f t="shared" si="0"/>
        <v>#VALUE!</v>
      </c>
      <c r="L19" s="21" t="s">
        <v>122</v>
      </c>
      <c r="M19" s="21" t="s">
        <v>122</v>
      </c>
      <c r="N19" s="21" t="s">
        <v>122</v>
      </c>
    </row>
    <row r="20" spans="1:14" ht="20" customHeight="1" x14ac:dyDescent="0.35">
      <c r="A20" s="20">
        <v>17</v>
      </c>
      <c r="B20" s="20" t="s">
        <v>122</v>
      </c>
      <c r="C20" s="21" t="s">
        <v>122</v>
      </c>
      <c r="D20" s="21" t="s">
        <v>122</v>
      </c>
      <c r="E20" s="21" t="s">
        <v>122</v>
      </c>
      <c r="F20" s="21" t="s">
        <v>122</v>
      </c>
      <c r="G20" s="20" t="s">
        <v>122</v>
      </c>
      <c r="H20" s="20" t="s">
        <v>122</v>
      </c>
      <c r="I20" s="21" t="s">
        <v>122</v>
      </c>
      <c r="J20" s="20" t="e">
        <f t="shared" si="1"/>
        <v>#VALUE!</v>
      </c>
      <c r="K20" s="20" t="e">
        <f t="shared" si="0"/>
        <v>#VALUE!</v>
      </c>
      <c r="L20" s="21" t="s">
        <v>122</v>
      </c>
      <c r="M20" s="21" t="s">
        <v>122</v>
      </c>
      <c r="N20" s="21" t="s">
        <v>122</v>
      </c>
    </row>
    <row r="21" spans="1:14" ht="20" customHeight="1" x14ac:dyDescent="0.35">
      <c r="A21" s="20">
        <v>18</v>
      </c>
      <c r="B21" s="20" t="s">
        <v>122</v>
      </c>
      <c r="C21" s="21" t="s">
        <v>122</v>
      </c>
      <c r="D21" s="21" t="s">
        <v>122</v>
      </c>
      <c r="E21" s="21" t="s">
        <v>122</v>
      </c>
      <c r="F21" s="21" t="s">
        <v>122</v>
      </c>
      <c r="G21" s="20" t="s">
        <v>122</v>
      </c>
      <c r="H21" s="20" t="s">
        <v>122</v>
      </c>
      <c r="I21" s="21" t="s">
        <v>122</v>
      </c>
      <c r="J21" s="20" t="e">
        <f t="shared" si="1"/>
        <v>#VALUE!</v>
      </c>
      <c r="K21" s="20" t="e">
        <f t="shared" si="0"/>
        <v>#VALUE!</v>
      </c>
      <c r="L21" s="21" t="s">
        <v>122</v>
      </c>
      <c r="M21" s="21" t="s">
        <v>122</v>
      </c>
      <c r="N21" s="21" t="s">
        <v>122</v>
      </c>
    </row>
    <row r="22" spans="1:14" ht="20" customHeight="1" x14ac:dyDescent="0.35">
      <c r="A22" s="20">
        <v>19</v>
      </c>
      <c r="B22" s="20" t="s">
        <v>122</v>
      </c>
      <c r="C22" s="21" t="s">
        <v>122</v>
      </c>
      <c r="D22" s="21" t="s">
        <v>122</v>
      </c>
      <c r="E22" s="21" t="s">
        <v>122</v>
      </c>
      <c r="F22" s="21" t="s">
        <v>122</v>
      </c>
      <c r="G22" s="20" t="s">
        <v>122</v>
      </c>
      <c r="H22" s="20" t="s">
        <v>122</v>
      </c>
      <c r="I22" s="21" t="s">
        <v>122</v>
      </c>
      <c r="J22" s="20" t="e">
        <f t="shared" si="1"/>
        <v>#VALUE!</v>
      </c>
      <c r="K22" s="20" t="e">
        <f t="shared" si="0"/>
        <v>#VALUE!</v>
      </c>
      <c r="L22" s="21" t="s">
        <v>122</v>
      </c>
      <c r="M22" s="21" t="s">
        <v>122</v>
      </c>
      <c r="N22" s="21" t="s">
        <v>122</v>
      </c>
    </row>
    <row r="23" spans="1:14" ht="20" customHeight="1" x14ac:dyDescent="0.35">
      <c r="A23" s="20">
        <v>20</v>
      </c>
      <c r="B23" s="20" t="s">
        <v>122</v>
      </c>
      <c r="C23" s="21" t="s">
        <v>122</v>
      </c>
      <c r="D23" s="21" t="s">
        <v>122</v>
      </c>
      <c r="E23" s="21" t="s">
        <v>122</v>
      </c>
      <c r="F23" s="21" t="s">
        <v>122</v>
      </c>
      <c r="G23" s="20" t="s">
        <v>122</v>
      </c>
      <c r="H23" s="20" t="s">
        <v>122</v>
      </c>
      <c r="I23" s="21" t="s">
        <v>122</v>
      </c>
      <c r="J23" s="20" t="e">
        <f t="shared" si="1"/>
        <v>#VALUE!</v>
      </c>
      <c r="K23" s="20" t="e">
        <f t="shared" si="0"/>
        <v>#VALUE!</v>
      </c>
      <c r="L23" s="21" t="s">
        <v>122</v>
      </c>
      <c r="M23" s="21" t="s">
        <v>122</v>
      </c>
      <c r="N23" s="21" t="s">
        <v>122</v>
      </c>
    </row>
    <row r="24" spans="1:14" ht="20" customHeight="1" x14ac:dyDescent="0.35">
      <c r="A24" s="20">
        <v>21</v>
      </c>
      <c r="B24" s="20" t="s">
        <v>122</v>
      </c>
      <c r="C24" s="21" t="s">
        <v>122</v>
      </c>
      <c r="D24" s="21" t="s">
        <v>122</v>
      </c>
      <c r="E24" s="21" t="s">
        <v>122</v>
      </c>
      <c r="F24" s="21" t="s">
        <v>122</v>
      </c>
      <c r="G24" s="20" t="s">
        <v>122</v>
      </c>
      <c r="H24" s="20" t="s">
        <v>122</v>
      </c>
      <c r="I24" s="21" t="s">
        <v>122</v>
      </c>
      <c r="J24" s="20" t="e">
        <f t="shared" si="1"/>
        <v>#VALUE!</v>
      </c>
      <c r="K24" s="20" t="e">
        <f t="shared" si="0"/>
        <v>#VALUE!</v>
      </c>
      <c r="L24" s="21" t="s">
        <v>122</v>
      </c>
      <c r="M24" s="21" t="s">
        <v>122</v>
      </c>
      <c r="N24" s="21" t="s">
        <v>122</v>
      </c>
    </row>
    <row r="25" spans="1:14" ht="20" customHeight="1" x14ac:dyDescent="0.35">
      <c r="A25" s="20">
        <v>22</v>
      </c>
      <c r="B25" s="20" t="s">
        <v>122</v>
      </c>
      <c r="C25" s="21" t="s">
        <v>122</v>
      </c>
      <c r="D25" s="21" t="s">
        <v>122</v>
      </c>
      <c r="E25" s="21" t="s">
        <v>122</v>
      </c>
      <c r="F25" s="21" t="s">
        <v>122</v>
      </c>
      <c r="G25" s="20" t="s">
        <v>122</v>
      </c>
      <c r="H25" s="20" t="s">
        <v>122</v>
      </c>
      <c r="I25" s="21" t="s">
        <v>122</v>
      </c>
      <c r="J25" s="20" t="e">
        <f t="shared" si="1"/>
        <v>#VALUE!</v>
      </c>
      <c r="K25" s="20" t="e">
        <f t="shared" si="0"/>
        <v>#VALUE!</v>
      </c>
      <c r="L25" s="21" t="s">
        <v>122</v>
      </c>
      <c r="M25" s="21" t="s">
        <v>122</v>
      </c>
      <c r="N25" s="21" t="s">
        <v>122</v>
      </c>
    </row>
    <row r="26" spans="1:14" ht="20" customHeight="1" x14ac:dyDescent="0.35">
      <c r="A26" s="20">
        <v>23</v>
      </c>
      <c r="B26" s="20" t="s">
        <v>122</v>
      </c>
      <c r="C26" s="21" t="s">
        <v>122</v>
      </c>
      <c r="D26" s="21" t="s">
        <v>122</v>
      </c>
      <c r="E26" s="21" t="s">
        <v>122</v>
      </c>
      <c r="F26" s="21" t="s">
        <v>122</v>
      </c>
      <c r="G26" s="20" t="s">
        <v>122</v>
      </c>
      <c r="H26" s="20" t="s">
        <v>122</v>
      </c>
      <c r="I26" s="21" t="s">
        <v>122</v>
      </c>
      <c r="J26" s="20" t="e">
        <f t="shared" si="1"/>
        <v>#VALUE!</v>
      </c>
      <c r="K26" s="20" t="e">
        <f t="shared" si="0"/>
        <v>#VALUE!</v>
      </c>
      <c r="L26" s="21" t="s">
        <v>122</v>
      </c>
      <c r="M26" s="21" t="s">
        <v>122</v>
      </c>
      <c r="N26" s="21" t="s">
        <v>122</v>
      </c>
    </row>
    <row r="27" spans="1:14" ht="20" customHeight="1" x14ac:dyDescent="0.35">
      <c r="A27" s="20">
        <v>24</v>
      </c>
      <c r="B27" s="20" t="s">
        <v>122</v>
      </c>
      <c r="C27" s="21" t="s">
        <v>122</v>
      </c>
      <c r="D27" s="21" t="s">
        <v>122</v>
      </c>
      <c r="E27" s="21" t="s">
        <v>122</v>
      </c>
      <c r="F27" s="21" t="s">
        <v>122</v>
      </c>
      <c r="G27" s="20" t="s">
        <v>122</v>
      </c>
      <c r="H27" s="20" t="s">
        <v>122</v>
      </c>
      <c r="I27" s="21" t="s">
        <v>122</v>
      </c>
      <c r="J27" s="20" t="e">
        <f t="shared" si="1"/>
        <v>#VALUE!</v>
      </c>
      <c r="K27" s="20" t="e">
        <f t="shared" si="0"/>
        <v>#VALUE!</v>
      </c>
      <c r="L27" s="21" t="s">
        <v>122</v>
      </c>
      <c r="M27" s="21" t="s">
        <v>122</v>
      </c>
      <c r="N27" s="21" t="s">
        <v>122</v>
      </c>
    </row>
    <row r="28" spans="1:14" ht="20" customHeight="1" x14ac:dyDescent="0.35">
      <c r="A28" s="20">
        <v>25</v>
      </c>
      <c r="B28" s="20" t="s">
        <v>122</v>
      </c>
      <c r="C28" s="21" t="s">
        <v>122</v>
      </c>
      <c r="D28" s="21" t="s">
        <v>122</v>
      </c>
      <c r="E28" s="21" t="s">
        <v>122</v>
      </c>
      <c r="F28" s="21" t="s">
        <v>122</v>
      </c>
      <c r="G28" s="20" t="s">
        <v>122</v>
      </c>
      <c r="H28" s="20" t="s">
        <v>122</v>
      </c>
      <c r="I28" s="21" t="s">
        <v>122</v>
      </c>
      <c r="J28" s="20" t="e">
        <f t="shared" si="1"/>
        <v>#VALUE!</v>
      </c>
      <c r="K28" s="20" t="e">
        <f t="shared" si="0"/>
        <v>#VALUE!</v>
      </c>
      <c r="L28" s="21" t="s">
        <v>122</v>
      </c>
      <c r="M28" s="21" t="s">
        <v>122</v>
      </c>
      <c r="N28" s="21" t="s">
        <v>122</v>
      </c>
    </row>
    <row r="29" spans="1:14" ht="20" customHeight="1" x14ac:dyDescent="0.35">
      <c r="A29" s="20">
        <v>26</v>
      </c>
      <c r="B29" s="20" t="s">
        <v>122</v>
      </c>
      <c r="C29" s="21" t="s">
        <v>122</v>
      </c>
      <c r="D29" s="21" t="s">
        <v>122</v>
      </c>
      <c r="E29" s="21" t="s">
        <v>122</v>
      </c>
      <c r="F29" s="21" t="s">
        <v>122</v>
      </c>
      <c r="G29" s="20" t="s">
        <v>122</v>
      </c>
      <c r="H29" s="20" t="s">
        <v>122</v>
      </c>
      <c r="I29" s="21" t="s">
        <v>122</v>
      </c>
      <c r="J29" s="20" t="e">
        <f t="shared" si="1"/>
        <v>#VALUE!</v>
      </c>
      <c r="K29" s="20" t="e">
        <f t="shared" si="0"/>
        <v>#VALUE!</v>
      </c>
      <c r="L29" s="21" t="s">
        <v>122</v>
      </c>
      <c r="M29" s="21" t="s">
        <v>122</v>
      </c>
      <c r="N29" s="21" t="s">
        <v>122</v>
      </c>
    </row>
    <row r="30" spans="1:14" ht="20" customHeight="1" x14ac:dyDescent="0.35">
      <c r="A30" s="20">
        <v>27</v>
      </c>
      <c r="B30" s="20" t="s">
        <v>122</v>
      </c>
      <c r="C30" s="21" t="s">
        <v>122</v>
      </c>
      <c r="D30" s="21" t="s">
        <v>122</v>
      </c>
      <c r="E30" s="21" t="s">
        <v>122</v>
      </c>
      <c r="F30" s="21" t="s">
        <v>122</v>
      </c>
      <c r="G30" s="20" t="s">
        <v>122</v>
      </c>
      <c r="H30" s="20" t="s">
        <v>122</v>
      </c>
      <c r="I30" s="21" t="s">
        <v>122</v>
      </c>
      <c r="J30" s="20" t="e">
        <f t="shared" si="1"/>
        <v>#VALUE!</v>
      </c>
      <c r="K30" s="20" t="e">
        <f t="shared" si="0"/>
        <v>#VALUE!</v>
      </c>
      <c r="L30" s="21" t="s">
        <v>122</v>
      </c>
      <c r="M30" s="21" t="s">
        <v>122</v>
      </c>
      <c r="N30" s="21" t="s">
        <v>122</v>
      </c>
    </row>
    <row r="31" spans="1:14" ht="20" customHeight="1" x14ac:dyDescent="0.35">
      <c r="A31" s="20">
        <v>28</v>
      </c>
      <c r="B31" s="20" t="s">
        <v>122</v>
      </c>
      <c r="C31" s="21" t="s">
        <v>122</v>
      </c>
      <c r="D31" s="21" t="s">
        <v>122</v>
      </c>
      <c r="E31" s="21" t="s">
        <v>122</v>
      </c>
      <c r="F31" s="21" t="s">
        <v>122</v>
      </c>
      <c r="G31" s="20" t="s">
        <v>122</v>
      </c>
      <c r="H31" s="20" t="s">
        <v>122</v>
      </c>
      <c r="I31" s="21" t="s">
        <v>122</v>
      </c>
      <c r="J31" s="20" t="e">
        <f t="shared" si="1"/>
        <v>#VALUE!</v>
      </c>
      <c r="K31" s="20" t="e">
        <f t="shared" si="0"/>
        <v>#VALUE!</v>
      </c>
      <c r="L31" s="21" t="s">
        <v>122</v>
      </c>
      <c r="M31" s="21" t="s">
        <v>122</v>
      </c>
      <c r="N31" s="21" t="s">
        <v>122</v>
      </c>
    </row>
    <row r="32" spans="1:14" ht="20" customHeight="1" x14ac:dyDescent="0.35">
      <c r="A32" s="20">
        <v>29</v>
      </c>
      <c r="B32" s="20" t="s">
        <v>122</v>
      </c>
      <c r="C32" s="21" t="s">
        <v>122</v>
      </c>
      <c r="D32" s="21" t="s">
        <v>122</v>
      </c>
      <c r="E32" s="21" t="s">
        <v>122</v>
      </c>
      <c r="F32" s="21" t="s">
        <v>122</v>
      </c>
      <c r="G32" s="20" t="s">
        <v>122</v>
      </c>
      <c r="H32" s="20" t="s">
        <v>122</v>
      </c>
      <c r="I32" s="21" t="s">
        <v>122</v>
      </c>
      <c r="J32" s="20" t="e">
        <f t="shared" si="1"/>
        <v>#VALUE!</v>
      </c>
      <c r="K32" s="20" t="e">
        <f t="shared" si="0"/>
        <v>#VALUE!</v>
      </c>
      <c r="L32" s="21" t="s">
        <v>122</v>
      </c>
      <c r="M32" s="21" t="s">
        <v>122</v>
      </c>
      <c r="N32" s="21" t="s">
        <v>122</v>
      </c>
    </row>
    <row r="33" spans="1:14" ht="20" customHeight="1" x14ac:dyDescent="0.35">
      <c r="A33" s="20">
        <v>30</v>
      </c>
      <c r="B33" s="20" t="s">
        <v>122</v>
      </c>
      <c r="C33" s="21" t="s">
        <v>122</v>
      </c>
      <c r="D33" s="21" t="s">
        <v>122</v>
      </c>
      <c r="E33" s="21" t="s">
        <v>122</v>
      </c>
      <c r="F33" s="21" t="s">
        <v>122</v>
      </c>
      <c r="G33" s="20" t="s">
        <v>122</v>
      </c>
      <c r="H33" s="20" t="s">
        <v>122</v>
      </c>
      <c r="I33" s="21" t="s">
        <v>122</v>
      </c>
      <c r="J33" s="20" t="e">
        <f t="shared" si="1"/>
        <v>#VALUE!</v>
      </c>
      <c r="K33" s="20" t="e">
        <f t="shared" si="0"/>
        <v>#VALUE!</v>
      </c>
      <c r="L33" s="21" t="s">
        <v>122</v>
      </c>
      <c r="M33" s="21" t="s">
        <v>122</v>
      </c>
      <c r="N33" s="21" t="s">
        <v>122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3"/>
  <sheetViews>
    <sheetView rightToLeft="1" workbookViewId="0"/>
  </sheetViews>
  <sheetFormatPr defaultRowHeight="14.5" x14ac:dyDescent="0.35"/>
  <cols>
    <col min="1" max="1" width="6" customWidth="1"/>
    <col min="2" max="3" width="12" customWidth="1"/>
    <col min="4" max="4" width="10" customWidth="1"/>
    <col min="5" max="5" width="30" customWidth="1"/>
    <col min="6" max="6" width="20" customWidth="1"/>
    <col min="7" max="9" width="12" customWidth="1"/>
    <col min="10" max="10" width="14" customWidth="1"/>
    <col min="11" max="11" width="18" customWidth="1"/>
    <col min="12" max="12" width="20" customWidth="1"/>
    <col min="13" max="14" width="14" customWidth="1"/>
  </cols>
  <sheetData>
    <row r="1" spans="1:14" ht="32" customHeight="1" x14ac:dyDescent="0.35">
      <c r="A1" s="24" t="s">
        <v>145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22" customHeight="1" x14ac:dyDescent="0.35">
      <c r="A2" s="15" t="s">
        <v>1</v>
      </c>
      <c r="C2" s="15" t="s">
        <v>119</v>
      </c>
      <c r="D2" s="16">
        <v>5000</v>
      </c>
    </row>
    <row r="3" spans="1:14" ht="26" customHeight="1" x14ac:dyDescent="0.35">
      <c r="A3" s="17" t="s">
        <v>3</v>
      </c>
      <c r="B3" s="17" t="s">
        <v>4</v>
      </c>
      <c r="C3" s="17" t="s">
        <v>5</v>
      </c>
      <c r="D3" s="17" t="s">
        <v>120</v>
      </c>
      <c r="E3" s="17" t="s">
        <v>7</v>
      </c>
      <c r="F3" s="17" t="s">
        <v>8</v>
      </c>
      <c r="G3" s="17" t="s">
        <v>9</v>
      </c>
      <c r="H3" s="17" t="s">
        <v>10</v>
      </c>
      <c r="I3" s="17" t="s">
        <v>11</v>
      </c>
      <c r="J3" s="17" t="s">
        <v>12</v>
      </c>
      <c r="K3" s="17" t="s">
        <v>13</v>
      </c>
      <c r="L3" s="17" t="s">
        <v>14</v>
      </c>
      <c r="M3" s="17" t="s">
        <v>15</v>
      </c>
      <c r="N3" s="17" t="s">
        <v>16</v>
      </c>
    </row>
    <row r="4" spans="1:14" ht="22" customHeight="1" x14ac:dyDescent="0.35">
      <c r="A4" s="18">
        <v>1</v>
      </c>
      <c r="B4" s="18" t="s">
        <v>121</v>
      </c>
      <c r="C4" s="19">
        <v>0</v>
      </c>
      <c r="D4" s="19" t="s">
        <v>122</v>
      </c>
      <c r="E4" s="19" t="s">
        <v>123</v>
      </c>
      <c r="F4" s="19" t="s">
        <v>124</v>
      </c>
      <c r="G4" s="18" t="s">
        <v>122</v>
      </c>
      <c r="H4" s="18">
        <v>5000</v>
      </c>
      <c r="I4" s="19" t="s">
        <v>125</v>
      </c>
      <c r="J4" s="18" t="e">
        <f>C4-G4+H4</f>
        <v>#VALUE!</v>
      </c>
      <c r="K4" s="18" t="e">
        <f t="shared" ref="K4:K33" si="0">IF(J4&lt;200,"تنبيه: اعد التعبئة","مقبول")</f>
        <v>#VALUE!</v>
      </c>
      <c r="L4" s="19" t="s">
        <v>126</v>
      </c>
      <c r="M4" s="19" t="s">
        <v>127</v>
      </c>
      <c r="N4" s="19" t="s">
        <v>128</v>
      </c>
    </row>
    <row r="5" spans="1:14" ht="22" customHeight="1" x14ac:dyDescent="0.35">
      <c r="A5" s="18">
        <v>2</v>
      </c>
      <c r="B5" s="18" t="s">
        <v>129</v>
      </c>
      <c r="C5" s="19" t="s">
        <v>122</v>
      </c>
      <c r="D5" s="19" t="s">
        <v>122</v>
      </c>
      <c r="E5" s="19" t="s">
        <v>130</v>
      </c>
      <c r="F5" s="19" t="s">
        <v>131</v>
      </c>
      <c r="G5" s="18">
        <v>450</v>
      </c>
      <c r="H5" s="18" t="s">
        <v>122</v>
      </c>
      <c r="I5" s="19" t="s">
        <v>132</v>
      </c>
      <c r="J5" s="18" t="e">
        <f t="shared" ref="J5:J33" si="1">J4-G5+H5</f>
        <v>#VALUE!</v>
      </c>
      <c r="K5" s="18" t="e">
        <f t="shared" si="0"/>
        <v>#VALUE!</v>
      </c>
      <c r="L5" s="19" t="s">
        <v>133</v>
      </c>
      <c r="M5" s="19" t="s">
        <v>127</v>
      </c>
      <c r="N5" s="19" t="s">
        <v>128</v>
      </c>
    </row>
    <row r="6" spans="1:14" ht="22" customHeight="1" x14ac:dyDescent="0.35">
      <c r="A6" s="18">
        <v>3</v>
      </c>
      <c r="B6" s="18" t="s">
        <v>134</v>
      </c>
      <c r="C6" s="19" t="s">
        <v>122</v>
      </c>
      <c r="D6" s="19" t="s">
        <v>122</v>
      </c>
      <c r="E6" s="19" t="s">
        <v>135</v>
      </c>
      <c r="F6" s="19" t="s">
        <v>136</v>
      </c>
      <c r="G6" s="18">
        <v>320</v>
      </c>
      <c r="H6" s="18" t="s">
        <v>122</v>
      </c>
      <c r="I6" s="19" t="s">
        <v>137</v>
      </c>
      <c r="J6" s="18" t="e">
        <f t="shared" si="1"/>
        <v>#VALUE!</v>
      </c>
      <c r="K6" s="18" t="e">
        <f t="shared" si="0"/>
        <v>#VALUE!</v>
      </c>
      <c r="L6" s="19" t="s">
        <v>138</v>
      </c>
      <c r="M6" s="19" t="s">
        <v>127</v>
      </c>
      <c r="N6" s="19" t="s">
        <v>128</v>
      </c>
    </row>
    <row r="7" spans="1:14" ht="22" customHeight="1" x14ac:dyDescent="0.35">
      <c r="A7" s="18">
        <v>4</v>
      </c>
      <c r="B7" s="18" t="s">
        <v>139</v>
      </c>
      <c r="C7" s="19" t="s">
        <v>122</v>
      </c>
      <c r="D7" s="19" t="s">
        <v>122</v>
      </c>
      <c r="E7" s="19" t="s">
        <v>140</v>
      </c>
      <c r="F7" s="19" t="s">
        <v>141</v>
      </c>
      <c r="G7" s="18" t="s">
        <v>122</v>
      </c>
      <c r="H7" s="18">
        <v>650</v>
      </c>
      <c r="I7" s="19" t="s">
        <v>142</v>
      </c>
      <c r="J7" s="18" t="e">
        <f t="shared" si="1"/>
        <v>#VALUE!</v>
      </c>
      <c r="K7" s="18" t="e">
        <f t="shared" si="0"/>
        <v>#VALUE!</v>
      </c>
      <c r="L7" s="19" t="s">
        <v>143</v>
      </c>
      <c r="M7" s="19" t="s">
        <v>127</v>
      </c>
      <c r="N7" s="19" t="s">
        <v>128</v>
      </c>
    </row>
    <row r="8" spans="1:14" ht="20" customHeight="1" x14ac:dyDescent="0.35">
      <c r="A8" s="20">
        <v>5</v>
      </c>
      <c r="B8" s="20" t="s">
        <v>122</v>
      </c>
      <c r="C8" s="21" t="s">
        <v>122</v>
      </c>
      <c r="D8" s="21" t="s">
        <v>122</v>
      </c>
      <c r="E8" s="21" t="s">
        <v>122</v>
      </c>
      <c r="F8" s="21" t="s">
        <v>122</v>
      </c>
      <c r="G8" s="20" t="s">
        <v>122</v>
      </c>
      <c r="H8" s="20" t="s">
        <v>122</v>
      </c>
      <c r="I8" s="21" t="s">
        <v>122</v>
      </c>
      <c r="J8" s="20" t="e">
        <f t="shared" si="1"/>
        <v>#VALUE!</v>
      </c>
      <c r="K8" s="20" t="e">
        <f t="shared" si="0"/>
        <v>#VALUE!</v>
      </c>
      <c r="L8" s="21" t="s">
        <v>122</v>
      </c>
      <c r="M8" s="21" t="s">
        <v>122</v>
      </c>
      <c r="N8" s="21" t="s">
        <v>122</v>
      </c>
    </row>
    <row r="9" spans="1:14" ht="20" customHeight="1" x14ac:dyDescent="0.35">
      <c r="A9" s="20">
        <v>6</v>
      </c>
      <c r="B9" s="20" t="s">
        <v>122</v>
      </c>
      <c r="C9" s="21" t="s">
        <v>122</v>
      </c>
      <c r="D9" s="21" t="s">
        <v>122</v>
      </c>
      <c r="E9" s="21" t="s">
        <v>122</v>
      </c>
      <c r="F9" s="21" t="s">
        <v>122</v>
      </c>
      <c r="G9" s="20" t="s">
        <v>122</v>
      </c>
      <c r="H9" s="20" t="s">
        <v>122</v>
      </c>
      <c r="I9" s="21" t="s">
        <v>122</v>
      </c>
      <c r="J9" s="20" t="e">
        <f t="shared" si="1"/>
        <v>#VALUE!</v>
      </c>
      <c r="K9" s="20" t="e">
        <f t="shared" si="0"/>
        <v>#VALUE!</v>
      </c>
      <c r="L9" s="21" t="s">
        <v>122</v>
      </c>
      <c r="M9" s="21" t="s">
        <v>122</v>
      </c>
      <c r="N9" s="21" t="s">
        <v>122</v>
      </c>
    </row>
    <row r="10" spans="1:14" ht="20" customHeight="1" x14ac:dyDescent="0.35">
      <c r="A10" s="20">
        <v>7</v>
      </c>
      <c r="B10" s="20" t="s">
        <v>122</v>
      </c>
      <c r="C10" s="21" t="s">
        <v>122</v>
      </c>
      <c r="D10" s="21" t="s">
        <v>122</v>
      </c>
      <c r="E10" s="21" t="s">
        <v>122</v>
      </c>
      <c r="F10" s="21" t="s">
        <v>122</v>
      </c>
      <c r="G10" s="20" t="s">
        <v>122</v>
      </c>
      <c r="H10" s="20" t="s">
        <v>122</v>
      </c>
      <c r="I10" s="21" t="s">
        <v>122</v>
      </c>
      <c r="J10" s="20" t="e">
        <f t="shared" si="1"/>
        <v>#VALUE!</v>
      </c>
      <c r="K10" s="20" t="e">
        <f t="shared" si="0"/>
        <v>#VALUE!</v>
      </c>
      <c r="L10" s="21" t="s">
        <v>122</v>
      </c>
      <c r="M10" s="21" t="s">
        <v>122</v>
      </c>
      <c r="N10" s="21" t="s">
        <v>122</v>
      </c>
    </row>
    <row r="11" spans="1:14" ht="20" customHeight="1" x14ac:dyDescent="0.35">
      <c r="A11" s="20">
        <v>8</v>
      </c>
      <c r="B11" s="20" t="s">
        <v>122</v>
      </c>
      <c r="C11" s="21" t="s">
        <v>122</v>
      </c>
      <c r="D11" s="21" t="s">
        <v>122</v>
      </c>
      <c r="E11" s="21" t="s">
        <v>122</v>
      </c>
      <c r="F11" s="21" t="s">
        <v>122</v>
      </c>
      <c r="G11" s="20" t="s">
        <v>122</v>
      </c>
      <c r="H11" s="20" t="s">
        <v>122</v>
      </c>
      <c r="I11" s="21" t="s">
        <v>122</v>
      </c>
      <c r="J11" s="20" t="e">
        <f t="shared" si="1"/>
        <v>#VALUE!</v>
      </c>
      <c r="K11" s="20" t="e">
        <f t="shared" si="0"/>
        <v>#VALUE!</v>
      </c>
      <c r="L11" s="21" t="s">
        <v>122</v>
      </c>
      <c r="M11" s="21" t="s">
        <v>122</v>
      </c>
      <c r="N11" s="21" t="s">
        <v>122</v>
      </c>
    </row>
    <row r="12" spans="1:14" ht="20" customHeight="1" x14ac:dyDescent="0.35">
      <c r="A12" s="20">
        <v>9</v>
      </c>
      <c r="B12" s="20" t="s">
        <v>122</v>
      </c>
      <c r="C12" s="21" t="s">
        <v>122</v>
      </c>
      <c r="D12" s="21" t="s">
        <v>122</v>
      </c>
      <c r="E12" s="21" t="s">
        <v>122</v>
      </c>
      <c r="F12" s="21" t="s">
        <v>122</v>
      </c>
      <c r="G12" s="20" t="s">
        <v>122</v>
      </c>
      <c r="H12" s="20" t="s">
        <v>122</v>
      </c>
      <c r="I12" s="21" t="s">
        <v>122</v>
      </c>
      <c r="J12" s="20" t="e">
        <f t="shared" si="1"/>
        <v>#VALUE!</v>
      </c>
      <c r="K12" s="20" t="e">
        <f t="shared" si="0"/>
        <v>#VALUE!</v>
      </c>
      <c r="L12" s="21" t="s">
        <v>122</v>
      </c>
      <c r="M12" s="21" t="s">
        <v>122</v>
      </c>
      <c r="N12" s="21" t="s">
        <v>122</v>
      </c>
    </row>
    <row r="13" spans="1:14" ht="20" customHeight="1" x14ac:dyDescent="0.35">
      <c r="A13" s="20">
        <v>10</v>
      </c>
      <c r="B13" s="20" t="s">
        <v>122</v>
      </c>
      <c r="C13" s="21" t="s">
        <v>122</v>
      </c>
      <c r="D13" s="21" t="s">
        <v>122</v>
      </c>
      <c r="E13" s="21" t="s">
        <v>122</v>
      </c>
      <c r="F13" s="21" t="s">
        <v>122</v>
      </c>
      <c r="G13" s="20" t="s">
        <v>122</v>
      </c>
      <c r="H13" s="20" t="s">
        <v>122</v>
      </c>
      <c r="I13" s="21" t="s">
        <v>122</v>
      </c>
      <c r="J13" s="20" t="e">
        <f t="shared" si="1"/>
        <v>#VALUE!</v>
      </c>
      <c r="K13" s="20" t="e">
        <f t="shared" si="0"/>
        <v>#VALUE!</v>
      </c>
      <c r="L13" s="21" t="s">
        <v>122</v>
      </c>
      <c r="M13" s="21" t="s">
        <v>122</v>
      </c>
      <c r="N13" s="21" t="s">
        <v>122</v>
      </c>
    </row>
    <row r="14" spans="1:14" ht="20" customHeight="1" x14ac:dyDescent="0.35">
      <c r="A14" s="20">
        <v>11</v>
      </c>
      <c r="B14" s="20" t="s">
        <v>122</v>
      </c>
      <c r="C14" s="21" t="s">
        <v>122</v>
      </c>
      <c r="D14" s="21" t="s">
        <v>122</v>
      </c>
      <c r="E14" s="21" t="s">
        <v>122</v>
      </c>
      <c r="F14" s="21" t="s">
        <v>122</v>
      </c>
      <c r="G14" s="20" t="s">
        <v>122</v>
      </c>
      <c r="H14" s="20" t="s">
        <v>122</v>
      </c>
      <c r="I14" s="21" t="s">
        <v>122</v>
      </c>
      <c r="J14" s="20" t="e">
        <f t="shared" si="1"/>
        <v>#VALUE!</v>
      </c>
      <c r="K14" s="20" t="e">
        <f t="shared" si="0"/>
        <v>#VALUE!</v>
      </c>
      <c r="L14" s="21" t="s">
        <v>122</v>
      </c>
      <c r="M14" s="21" t="s">
        <v>122</v>
      </c>
      <c r="N14" s="21" t="s">
        <v>122</v>
      </c>
    </row>
    <row r="15" spans="1:14" ht="20" customHeight="1" x14ac:dyDescent="0.35">
      <c r="A15" s="20">
        <v>12</v>
      </c>
      <c r="B15" s="20" t="s">
        <v>122</v>
      </c>
      <c r="C15" s="21" t="s">
        <v>122</v>
      </c>
      <c r="D15" s="21" t="s">
        <v>122</v>
      </c>
      <c r="E15" s="21" t="s">
        <v>122</v>
      </c>
      <c r="F15" s="21" t="s">
        <v>122</v>
      </c>
      <c r="G15" s="20" t="s">
        <v>122</v>
      </c>
      <c r="H15" s="20" t="s">
        <v>122</v>
      </c>
      <c r="I15" s="21" t="s">
        <v>122</v>
      </c>
      <c r="J15" s="20" t="e">
        <f t="shared" si="1"/>
        <v>#VALUE!</v>
      </c>
      <c r="K15" s="20" t="e">
        <f t="shared" si="0"/>
        <v>#VALUE!</v>
      </c>
      <c r="L15" s="21" t="s">
        <v>122</v>
      </c>
      <c r="M15" s="21" t="s">
        <v>122</v>
      </c>
      <c r="N15" s="21" t="s">
        <v>122</v>
      </c>
    </row>
    <row r="16" spans="1:14" ht="20" customHeight="1" x14ac:dyDescent="0.35">
      <c r="A16" s="20">
        <v>13</v>
      </c>
      <c r="B16" s="20" t="s">
        <v>122</v>
      </c>
      <c r="C16" s="21" t="s">
        <v>122</v>
      </c>
      <c r="D16" s="21" t="s">
        <v>122</v>
      </c>
      <c r="E16" s="21" t="s">
        <v>122</v>
      </c>
      <c r="F16" s="21" t="s">
        <v>122</v>
      </c>
      <c r="G16" s="20" t="s">
        <v>122</v>
      </c>
      <c r="H16" s="20" t="s">
        <v>122</v>
      </c>
      <c r="I16" s="21" t="s">
        <v>122</v>
      </c>
      <c r="J16" s="20" t="e">
        <f t="shared" si="1"/>
        <v>#VALUE!</v>
      </c>
      <c r="K16" s="20" t="e">
        <f t="shared" si="0"/>
        <v>#VALUE!</v>
      </c>
      <c r="L16" s="21" t="s">
        <v>122</v>
      </c>
      <c r="M16" s="21" t="s">
        <v>122</v>
      </c>
      <c r="N16" s="21" t="s">
        <v>122</v>
      </c>
    </row>
    <row r="17" spans="1:14" ht="20" customHeight="1" x14ac:dyDescent="0.35">
      <c r="A17" s="20">
        <v>14</v>
      </c>
      <c r="B17" s="20" t="s">
        <v>122</v>
      </c>
      <c r="C17" s="21" t="s">
        <v>122</v>
      </c>
      <c r="D17" s="21" t="s">
        <v>122</v>
      </c>
      <c r="E17" s="21" t="s">
        <v>122</v>
      </c>
      <c r="F17" s="21" t="s">
        <v>122</v>
      </c>
      <c r="G17" s="20" t="s">
        <v>122</v>
      </c>
      <c r="H17" s="20" t="s">
        <v>122</v>
      </c>
      <c r="I17" s="21" t="s">
        <v>122</v>
      </c>
      <c r="J17" s="20" t="e">
        <f t="shared" si="1"/>
        <v>#VALUE!</v>
      </c>
      <c r="K17" s="20" t="e">
        <f t="shared" si="0"/>
        <v>#VALUE!</v>
      </c>
      <c r="L17" s="21" t="s">
        <v>122</v>
      </c>
      <c r="M17" s="21" t="s">
        <v>122</v>
      </c>
      <c r="N17" s="21" t="s">
        <v>122</v>
      </c>
    </row>
    <row r="18" spans="1:14" ht="20" customHeight="1" x14ac:dyDescent="0.35">
      <c r="A18" s="20">
        <v>15</v>
      </c>
      <c r="B18" s="20" t="s">
        <v>122</v>
      </c>
      <c r="C18" s="21" t="s">
        <v>122</v>
      </c>
      <c r="D18" s="21" t="s">
        <v>122</v>
      </c>
      <c r="E18" s="21" t="s">
        <v>122</v>
      </c>
      <c r="F18" s="21" t="s">
        <v>122</v>
      </c>
      <c r="G18" s="20" t="s">
        <v>122</v>
      </c>
      <c r="H18" s="20" t="s">
        <v>122</v>
      </c>
      <c r="I18" s="21" t="s">
        <v>122</v>
      </c>
      <c r="J18" s="20" t="e">
        <f t="shared" si="1"/>
        <v>#VALUE!</v>
      </c>
      <c r="K18" s="20" t="e">
        <f t="shared" si="0"/>
        <v>#VALUE!</v>
      </c>
      <c r="L18" s="21" t="s">
        <v>122</v>
      </c>
      <c r="M18" s="21" t="s">
        <v>122</v>
      </c>
      <c r="N18" s="21" t="s">
        <v>122</v>
      </c>
    </row>
    <row r="19" spans="1:14" ht="20" customHeight="1" x14ac:dyDescent="0.35">
      <c r="A19" s="20">
        <v>16</v>
      </c>
      <c r="B19" s="20" t="s">
        <v>122</v>
      </c>
      <c r="C19" s="21" t="s">
        <v>122</v>
      </c>
      <c r="D19" s="21" t="s">
        <v>122</v>
      </c>
      <c r="E19" s="21" t="s">
        <v>122</v>
      </c>
      <c r="F19" s="21" t="s">
        <v>122</v>
      </c>
      <c r="G19" s="20" t="s">
        <v>122</v>
      </c>
      <c r="H19" s="20" t="s">
        <v>122</v>
      </c>
      <c r="I19" s="21" t="s">
        <v>122</v>
      </c>
      <c r="J19" s="20" t="e">
        <f t="shared" si="1"/>
        <v>#VALUE!</v>
      </c>
      <c r="K19" s="20" t="e">
        <f t="shared" si="0"/>
        <v>#VALUE!</v>
      </c>
      <c r="L19" s="21" t="s">
        <v>122</v>
      </c>
      <c r="M19" s="21" t="s">
        <v>122</v>
      </c>
      <c r="N19" s="21" t="s">
        <v>122</v>
      </c>
    </row>
    <row r="20" spans="1:14" ht="20" customHeight="1" x14ac:dyDescent="0.35">
      <c r="A20" s="20">
        <v>17</v>
      </c>
      <c r="B20" s="20" t="s">
        <v>122</v>
      </c>
      <c r="C20" s="21" t="s">
        <v>122</v>
      </c>
      <c r="D20" s="21" t="s">
        <v>122</v>
      </c>
      <c r="E20" s="21" t="s">
        <v>122</v>
      </c>
      <c r="F20" s="21" t="s">
        <v>122</v>
      </c>
      <c r="G20" s="20" t="s">
        <v>122</v>
      </c>
      <c r="H20" s="20" t="s">
        <v>122</v>
      </c>
      <c r="I20" s="21" t="s">
        <v>122</v>
      </c>
      <c r="J20" s="20" t="e">
        <f t="shared" si="1"/>
        <v>#VALUE!</v>
      </c>
      <c r="K20" s="20" t="e">
        <f t="shared" si="0"/>
        <v>#VALUE!</v>
      </c>
      <c r="L20" s="21" t="s">
        <v>122</v>
      </c>
      <c r="M20" s="21" t="s">
        <v>122</v>
      </c>
      <c r="N20" s="21" t="s">
        <v>122</v>
      </c>
    </row>
    <row r="21" spans="1:14" ht="20" customHeight="1" x14ac:dyDescent="0.35">
      <c r="A21" s="20">
        <v>18</v>
      </c>
      <c r="B21" s="20" t="s">
        <v>122</v>
      </c>
      <c r="C21" s="21" t="s">
        <v>122</v>
      </c>
      <c r="D21" s="21" t="s">
        <v>122</v>
      </c>
      <c r="E21" s="21" t="s">
        <v>122</v>
      </c>
      <c r="F21" s="21" t="s">
        <v>122</v>
      </c>
      <c r="G21" s="20" t="s">
        <v>122</v>
      </c>
      <c r="H21" s="20" t="s">
        <v>122</v>
      </c>
      <c r="I21" s="21" t="s">
        <v>122</v>
      </c>
      <c r="J21" s="20" t="e">
        <f t="shared" si="1"/>
        <v>#VALUE!</v>
      </c>
      <c r="K21" s="20" t="e">
        <f t="shared" si="0"/>
        <v>#VALUE!</v>
      </c>
      <c r="L21" s="21" t="s">
        <v>122</v>
      </c>
      <c r="M21" s="21" t="s">
        <v>122</v>
      </c>
      <c r="N21" s="21" t="s">
        <v>122</v>
      </c>
    </row>
    <row r="22" spans="1:14" ht="20" customHeight="1" x14ac:dyDescent="0.35">
      <c r="A22" s="20">
        <v>19</v>
      </c>
      <c r="B22" s="20" t="s">
        <v>122</v>
      </c>
      <c r="C22" s="21" t="s">
        <v>122</v>
      </c>
      <c r="D22" s="21" t="s">
        <v>122</v>
      </c>
      <c r="E22" s="21" t="s">
        <v>122</v>
      </c>
      <c r="F22" s="21" t="s">
        <v>122</v>
      </c>
      <c r="G22" s="20" t="s">
        <v>122</v>
      </c>
      <c r="H22" s="20" t="s">
        <v>122</v>
      </c>
      <c r="I22" s="21" t="s">
        <v>122</v>
      </c>
      <c r="J22" s="20" t="e">
        <f t="shared" si="1"/>
        <v>#VALUE!</v>
      </c>
      <c r="K22" s="20" t="e">
        <f t="shared" si="0"/>
        <v>#VALUE!</v>
      </c>
      <c r="L22" s="21" t="s">
        <v>122</v>
      </c>
      <c r="M22" s="21" t="s">
        <v>122</v>
      </c>
      <c r="N22" s="21" t="s">
        <v>122</v>
      </c>
    </row>
    <row r="23" spans="1:14" ht="20" customHeight="1" x14ac:dyDescent="0.35">
      <c r="A23" s="20">
        <v>20</v>
      </c>
      <c r="B23" s="20" t="s">
        <v>122</v>
      </c>
      <c r="C23" s="21" t="s">
        <v>122</v>
      </c>
      <c r="D23" s="21" t="s">
        <v>122</v>
      </c>
      <c r="E23" s="21" t="s">
        <v>122</v>
      </c>
      <c r="F23" s="21" t="s">
        <v>122</v>
      </c>
      <c r="G23" s="20" t="s">
        <v>122</v>
      </c>
      <c r="H23" s="20" t="s">
        <v>122</v>
      </c>
      <c r="I23" s="21" t="s">
        <v>122</v>
      </c>
      <c r="J23" s="20" t="e">
        <f t="shared" si="1"/>
        <v>#VALUE!</v>
      </c>
      <c r="K23" s="20" t="e">
        <f t="shared" si="0"/>
        <v>#VALUE!</v>
      </c>
      <c r="L23" s="21" t="s">
        <v>122</v>
      </c>
      <c r="M23" s="21" t="s">
        <v>122</v>
      </c>
      <c r="N23" s="21" t="s">
        <v>122</v>
      </c>
    </row>
    <row r="24" spans="1:14" ht="20" customHeight="1" x14ac:dyDescent="0.35">
      <c r="A24" s="20">
        <v>21</v>
      </c>
      <c r="B24" s="20" t="s">
        <v>122</v>
      </c>
      <c r="C24" s="21" t="s">
        <v>122</v>
      </c>
      <c r="D24" s="21" t="s">
        <v>122</v>
      </c>
      <c r="E24" s="21" t="s">
        <v>122</v>
      </c>
      <c r="F24" s="21" t="s">
        <v>122</v>
      </c>
      <c r="G24" s="20" t="s">
        <v>122</v>
      </c>
      <c r="H24" s="20" t="s">
        <v>122</v>
      </c>
      <c r="I24" s="21" t="s">
        <v>122</v>
      </c>
      <c r="J24" s="20" t="e">
        <f t="shared" si="1"/>
        <v>#VALUE!</v>
      </c>
      <c r="K24" s="20" t="e">
        <f t="shared" si="0"/>
        <v>#VALUE!</v>
      </c>
      <c r="L24" s="21" t="s">
        <v>122</v>
      </c>
      <c r="M24" s="21" t="s">
        <v>122</v>
      </c>
      <c r="N24" s="21" t="s">
        <v>122</v>
      </c>
    </row>
    <row r="25" spans="1:14" ht="20" customHeight="1" x14ac:dyDescent="0.35">
      <c r="A25" s="20">
        <v>22</v>
      </c>
      <c r="B25" s="20" t="s">
        <v>122</v>
      </c>
      <c r="C25" s="21" t="s">
        <v>122</v>
      </c>
      <c r="D25" s="21" t="s">
        <v>122</v>
      </c>
      <c r="E25" s="21" t="s">
        <v>122</v>
      </c>
      <c r="F25" s="21" t="s">
        <v>122</v>
      </c>
      <c r="G25" s="20" t="s">
        <v>122</v>
      </c>
      <c r="H25" s="20" t="s">
        <v>122</v>
      </c>
      <c r="I25" s="21" t="s">
        <v>122</v>
      </c>
      <c r="J25" s="20" t="e">
        <f t="shared" si="1"/>
        <v>#VALUE!</v>
      </c>
      <c r="K25" s="20" t="e">
        <f t="shared" si="0"/>
        <v>#VALUE!</v>
      </c>
      <c r="L25" s="21" t="s">
        <v>122</v>
      </c>
      <c r="M25" s="21" t="s">
        <v>122</v>
      </c>
      <c r="N25" s="21" t="s">
        <v>122</v>
      </c>
    </row>
    <row r="26" spans="1:14" ht="20" customHeight="1" x14ac:dyDescent="0.35">
      <c r="A26" s="20">
        <v>23</v>
      </c>
      <c r="B26" s="20" t="s">
        <v>122</v>
      </c>
      <c r="C26" s="21" t="s">
        <v>122</v>
      </c>
      <c r="D26" s="21" t="s">
        <v>122</v>
      </c>
      <c r="E26" s="21" t="s">
        <v>122</v>
      </c>
      <c r="F26" s="21" t="s">
        <v>122</v>
      </c>
      <c r="G26" s="20" t="s">
        <v>122</v>
      </c>
      <c r="H26" s="20" t="s">
        <v>122</v>
      </c>
      <c r="I26" s="21" t="s">
        <v>122</v>
      </c>
      <c r="J26" s="20" t="e">
        <f t="shared" si="1"/>
        <v>#VALUE!</v>
      </c>
      <c r="K26" s="20" t="e">
        <f t="shared" si="0"/>
        <v>#VALUE!</v>
      </c>
      <c r="L26" s="21" t="s">
        <v>122</v>
      </c>
      <c r="M26" s="21" t="s">
        <v>122</v>
      </c>
      <c r="N26" s="21" t="s">
        <v>122</v>
      </c>
    </row>
    <row r="27" spans="1:14" ht="20" customHeight="1" x14ac:dyDescent="0.35">
      <c r="A27" s="20">
        <v>24</v>
      </c>
      <c r="B27" s="20" t="s">
        <v>122</v>
      </c>
      <c r="C27" s="21" t="s">
        <v>122</v>
      </c>
      <c r="D27" s="21" t="s">
        <v>122</v>
      </c>
      <c r="E27" s="21" t="s">
        <v>122</v>
      </c>
      <c r="F27" s="21" t="s">
        <v>122</v>
      </c>
      <c r="G27" s="20" t="s">
        <v>122</v>
      </c>
      <c r="H27" s="20" t="s">
        <v>122</v>
      </c>
      <c r="I27" s="21" t="s">
        <v>122</v>
      </c>
      <c r="J27" s="20" t="e">
        <f t="shared" si="1"/>
        <v>#VALUE!</v>
      </c>
      <c r="K27" s="20" t="e">
        <f t="shared" si="0"/>
        <v>#VALUE!</v>
      </c>
      <c r="L27" s="21" t="s">
        <v>122</v>
      </c>
      <c r="M27" s="21" t="s">
        <v>122</v>
      </c>
      <c r="N27" s="21" t="s">
        <v>122</v>
      </c>
    </row>
    <row r="28" spans="1:14" ht="20" customHeight="1" x14ac:dyDescent="0.35">
      <c r="A28" s="20">
        <v>25</v>
      </c>
      <c r="B28" s="20" t="s">
        <v>122</v>
      </c>
      <c r="C28" s="21" t="s">
        <v>122</v>
      </c>
      <c r="D28" s="21" t="s">
        <v>122</v>
      </c>
      <c r="E28" s="21" t="s">
        <v>122</v>
      </c>
      <c r="F28" s="21" t="s">
        <v>122</v>
      </c>
      <c r="G28" s="20" t="s">
        <v>122</v>
      </c>
      <c r="H28" s="20" t="s">
        <v>122</v>
      </c>
      <c r="I28" s="21" t="s">
        <v>122</v>
      </c>
      <c r="J28" s="20" t="e">
        <f t="shared" si="1"/>
        <v>#VALUE!</v>
      </c>
      <c r="K28" s="20" t="e">
        <f t="shared" si="0"/>
        <v>#VALUE!</v>
      </c>
      <c r="L28" s="21" t="s">
        <v>122</v>
      </c>
      <c r="M28" s="21" t="s">
        <v>122</v>
      </c>
      <c r="N28" s="21" t="s">
        <v>122</v>
      </c>
    </row>
    <row r="29" spans="1:14" ht="20" customHeight="1" x14ac:dyDescent="0.35">
      <c r="A29" s="20">
        <v>26</v>
      </c>
      <c r="B29" s="20" t="s">
        <v>122</v>
      </c>
      <c r="C29" s="21" t="s">
        <v>122</v>
      </c>
      <c r="D29" s="21" t="s">
        <v>122</v>
      </c>
      <c r="E29" s="21" t="s">
        <v>122</v>
      </c>
      <c r="F29" s="21" t="s">
        <v>122</v>
      </c>
      <c r="G29" s="20" t="s">
        <v>122</v>
      </c>
      <c r="H29" s="20" t="s">
        <v>122</v>
      </c>
      <c r="I29" s="21" t="s">
        <v>122</v>
      </c>
      <c r="J29" s="20" t="e">
        <f t="shared" si="1"/>
        <v>#VALUE!</v>
      </c>
      <c r="K29" s="20" t="e">
        <f t="shared" si="0"/>
        <v>#VALUE!</v>
      </c>
      <c r="L29" s="21" t="s">
        <v>122</v>
      </c>
      <c r="M29" s="21" t="s">
        <v>122</v>
      </c>
      <c r="N29" s="21" t="s">
        <v>122</v>
      </c>
    </row>
    <row r="30" spans="1:14" ht="20" customHeight="1" x14ac:dyDescent="0.35">
      <c r="A30" s="20">
        <v>27</v>
      </c>
      <c r="B30" s="20" t="s">
        <v>122</v>
      </c>
      <c r="C30" s="21" t="s">
        <v>122</v>
      </c>
      <c r="D30" s="21" t="s">
        <v>122</v>
      </c>
      <c r="E30" s="21" t="s">
        <v>122</v>
      </c>
      <c r="F30" s="21" t="s">
        <v>122</v>
      </c>
      <c r="G30" s="20" t="s">
        <v>122</v>
      </c>
      <c r="H30" s="20" t="s">
        <v>122</v>
      </c>
      <c r="I30" s="21" t="s">
        <v>122</v>
      </c>
      <c r="J30" s="20" t="e">
        <f t="shared" si="1"/>
        <v>#VALUE!</v>
      </c>
      <c r="K30" s="20" t="e">
        <f t="shared" si="0"/>
        <v>#VALUE!</v>
      </c>
      <c r="L30" s="21" t="s">
        <v>122</v>
      </c>
      <c r="M30" s="21" t="s">
        <v>122</v>
      </c>
      <c r="N30" s="21" t="s">
        <v>122</v>
      </c>
    </row>
    <row r="31" spans="1:14" ht="20" customHeight="1" x14ac:dyDescent="0.35">
      <c r="A31" s="20">
        <v>28</v>
      </c>
      <c r="B31" s="20" t="s">
        <v>122</v>
      </c>
      <c r="C31" s="21" t="s">
        <v>122</v>
      </c>
      <c r="D31" s="21" t="s">
        <v>122</v>
      </c>
      <c r="E31" s="21" t="s">
        <v>122</v>
      </c>
      <c r="F31" s="21" t="s">
        <v>122</v>
      </c>
      <c r="G31" s="20" t="s">
        <v>122</v>
      </c>
      <c r="H31" s="20" t="s">
        <v>122</v>
      </c>
      <c r="I31" s="21" t="s">
        <v>122</v>
      </c>
      <c r="J31" s="20" t="e">
        <f t="shared" si="1"/>
        <v>#VALUE!</v>
      </c>
      <c r="K31" s="20" t="e">
        <f t="shared" si="0"/>
        <v>#VALUE!</v>
      </c>
      <c r="L31" s="21" t="s">
        <v>122</v>
      </c>
      <c r="M31" s="21" t="s">
        <v>122</v>
      </c>
      <c r="N31" s="21" t="s">
        <v>122</v>
      </c>
    </row>
    <row r="32" spans="1:14" ht="20" customHeight="1" x14ac:dyDescent="0.35">
      <c r="A32" s="20">
        <v>29</v>
      </c>
      <c r="B32" s="20" t="s">
        <v>122</v>
      </c>
      <c r="C32" s="21" t="s">
        <v>122</v>
      </c>
      <c r="D32" s="21" t="s">
        <v>122</v>
      </c>
      <c r="E32" s="21" t="s">
        <v>122</v>
      </c>
      <c r="F32" s="21" t="s">
        <v>122</v>
      </c>
      <c r="G32" s="20" t="s">
        <v>122</v>
      </c>
      <c r="H32" s="20" t="s">
        <v>122</v>
      </c>
      <c r="I32" s="21" t="s">
        <v>122</v>
      </c>
      <c r="J32" s="20" t="e">
        <f t="shared" si="1"/>
        <v>#VALUE!</v>
      </c>
      <c r="K32" s="20" t="e">
        <f t="shared" si="0"/>
        <v>#VALUE!</v>
      </c>
      <c r="L32" s="21" t="s">
        <v>122</v>
      </c>
      <c r="M32" s="21" t="s">
        <v>122</v>
      </c>
      <c r="N32" s="21" t="s">
        <v>122</v>
      </c>
    </row>
    <row r="33" spans="1:14" ht="20" customHeight="1" x14ac:dyDescent="0.35">
      <c r="A33" s="20">
        <v>30</v>
      </c>
      <c r="B33" s="20" t="s">
        <v>122</v>
      </c>
      <c r="C33" s="21" t="s">
        <v>122</v>
      </c>
      <c r="D33" s="21" t="s">
        <v>122</v>
      </c>
      <c r="E33" s="21" t="s">
        <v>122</v>
      </c>
      <c r="F33" s="21" t="s">
        <v>122</v>
      </c>
      <c r="G33" s="20" t="s">
        <v>122</v>
      </c>
      <c r="H33" s="20" t="s">
        <v>122</v>
      </c>
      <c r="I33" s="21" t="s">
        <v>122</v>
      </c>
      <c r="J33" s="20" t="e">
        <f t="shared" si="1"/>
        <v>#VALUE!</v>
      </c>
      <c r="K33" s="20" t="e">
        <f t="shared" si="0"/>
        <v>#VALUE!</v>
      </c>
      <c r="L33" s="21" t="s">
        <v>122</v>
      </c>
      <c r="M33" s="21" t="s">
        <v>122</v>
      </c>
      <c r="N33" s="21" t="s">
        <v>122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1-A Petty Cash</vt:lpstr>
      <vt:lpstr>Sheet1</vt:lpstr>
      <vt:lpstr>1-B Petty Cash</vt:lpstr>
      <vt:lpstr>1-C Petty Cash</vt:lpstr>
      <vt:lpstr>2-A Petty Cash</vt:lpstr>
      <vt:lpstr>2-B Petty 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2026-08-05T10:07:57Z</dcterms:created>
  <dcterms:modified xsi:type="dcterms:W3CDTF">2026-08-31T09:41:15Z</dcterms:modified>
</cp:coreProperties>
</file>